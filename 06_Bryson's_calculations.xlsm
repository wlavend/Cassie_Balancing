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williamlavender/Desktop/"/>
    </mc:Choice>
  </mc:AlternateContent>
  <xr:revisionPtr revIDLastSave="0" documentId="13_ncr:9_{A3ECFE61-6CD9-A345-98BF-A8CEE9EAA043}" xr6:coauthVersionLast="47" xr6:coauthVersionMax="47" xr10:uidLastSave="{00000000-0000-0000-0000-000000000000}"/>
  <bookViews>
    <workbookView xWindow="13800" yWindow="500" windowWidth="14620" windowHeight="16580" xr2:uid="{BA5B3E20-85A3-5947-86CD-FF2945A4F0FB}"/>
  </bookViews>
  <sheets>
    <sheet name="2_Leg" sheetId="1" r:id="rId1"/>
    <sheet name="1_Leg" sheetId="2" r:id="rId2"/>
    <sheet name="Mas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9" i="1" l="1"/>
  <c r="B33" i="1"/>
  <c r="D33" i="1" s="1"/>
  <c r="E33" i="1" s="1"/>
  <c r="B58" i="1"/>
  <c r="D58" i="1" s="1"/>
  <c r="E58" i="1" s="1"/>
  <c r="B59" i="1"/>
  <c r="D59" i="1" s="1"/>
  <c r="E59" i="1" s="1"/>
  <c r="B60" i="1"/>
  <c r="D60" i="1" s="1"/>
  <c r="E60" i="1" s="1"/>
  <c r="B61" i="1"/>
  <c r="D61" i="1" s="1"/>
  <c r="E61" i="1" s="1"/>
  <c r="B62" i="1"/>
  <c r="D62" i="1" s="1"/>
  <c r="E62" i="1" s="1"/>
  <c r="B63" i="1"/>
  <c r="D63" i="1" s="1"/>
  <c r="E63" i="1" s="1"/>
  <c r="B64" i="1"/>
  <c r="D64" i="1" s="1"/>
  <c r="E64" i="1" s="1"/>
  <c r="B65" i="1"/>
  <c r="B66" i="1"/>
  <c r="D66" i="1" s="1"/>
  <c r="E66" i="1" s="1"/>
  <c r="B67" i="1"/>
  <c r="D67" i="1" s="1"/>
  <c r="E67" i="1" s="1"/>
  <c r="B68" i="1"/>
  <c r="D68" i="1" s="1"/>
  <c r="E68" i="1" s="1"/>
  <c r="D69" i="1"/>
  <c r="E69" i="1" s="1"/>
  <c r="B57" i="1"/>
  <c r="D57" i="1" s="1"/>
  <c r="E57" i="1" s="1"/>
  <c r="D65" i="1"/>
  <c r="E65" i="1" s="1"/>
  <c r="D56" i="1"/>
  <c r="E56" i="1" s="1"/>
  <c r="D55" i="1"/>
  <c r="E55" i="1" s="1"/>
  <c r="D54" i="1"/>
  <c r="E54" i="1" s="1"/>
  <c r="D53" i="1"/>
  <c r="E53" i="1" s="1"/>
  <c r="D52" i="1"/>
  <c r="E52" i="1" s="1"/>
  <c r="D51" i="1"/>
  <c r="E51" i="1" s="1"/>
  <c r="D50" i="1"/>
  <c r="E50" i="1" s="1"/>
  <c r="D49" i="1"/>
  <c r="E49" i="1" s="1"/>
  <c r="D48" i="1"/>
  <c r="E48" i="1" s="1"/>
  <c r="D47" i="1"/>
  <c r="E47" i="1" s="1"/>
  <c r="D46" i="1"/>
  <c r="E46" i="1" s="1"/>
  <c r="D45" i="1"/>
  <c r="E45" i="1" s="1"/>
  <c r="D44" i="1"/>
  <c r="E44" i="1" s="1"/>
  <c r="D43" i="1"/>
  <c r="E43" i="1" s="1"/>
  <c r="D42" i="1"/>
  <c r="E42" i="1" s="1"/>
  <c r="D41" i="1"/>
  <c r="E41" i="1" s="1"/>
  <c r="D40" i="1"/>
  <c r="E40" i="1" s="1"/>
  <c r="D39" i="1"/>
  <c r="E39" i="1" s="1"/>
  <c r="D38" i="1"/>
  <c r="E38" i="1" s="1"/>
  <c r="B22" i="1"/>
  <c r="D22" i="1" s="1"/>
  <c r="E22" i="1" s="1"/>
  <c r="B23" i="1"/>
  <c r="B24" i="1"/>
  <c r="B25" i="1"/>
  <c r="D25" i="1" s="1"/>
  <c r="E25" i="1" s="1"/>
  <c r="B26" i="1"/>
  <c r="D26" i="1" s="1"/>
  <c r="E26" i="1" s="1"/>
  <c r="B27" i="1"/>
  <c r="D27" i="1" s="1"/>
  <c r="E27" i="1" s="1"/>
  <c r="B28" i="1"/>
  <c r="D28" i="1" s="1"/>
  <c r="E28" i="1" s="1"/>
  <c r="B29" i="1"/>
  <c r="D29" i="1" s="1"/>
  <c r="E29" i="1" s="1"/>
  <c r="B30" i="1"/>
  <c r="D30" i="1" s="1"/>
  <c r="E30" i="1" s="1"/>
  <c r="B31" i="1"/>
  <c r="D31" i="1" s="1"/>
  <c r="E31" i="1" s="1"/>
  <c r="B32" i="1"/>
  <c r="D32" i="1" s="1"/>
  <c r="E32" i="1" s="1"/>
  <c r="B21" i="1"/>
  <c r="D21" i="1" s="1"/>
  <c r="E21" i="1" s="1"/>
  <c r="D24" i="1"/>
  <c r="E24" i="1" s="1"/>
  <c r="D23" i="1"/>
  <c r="E23" i="1" s="1"/>
  <c r="A26" i="3"/>
  <c r="F43" i="2"/>
  <c r="F41" i="2"/>
  <c r="F42" i="2"/>
  <c r="D72" i="2"/>
  <c r="E72" i="2" s="1"/>
  <c r="F72" i="2" s="1"/>
  <c r="D71" i="2"/>
  <c r="E71" i="2" s="1"/>
  <c r="F71" i="2" s="1"/>
  <c r="D70" i="2"/>
  <c r="E70" i="2" s="1"/>
  <c r="F70" i="2" s="1"/>
  <c r="D69" i="2"/>
  <c r="E69" i="2" s="1"/>
  <c r="F69" i="2" s="1"/>
  <c r="D68" i="2"/>
  <c r="E68" i="2" s="1"/>
  <c r="F68" i="2" s="1"/>
  <c r="D67" i="2"/>
  <c r="E67" i="2" s="1"/>
  <c r="F67" i="2" s="1"/>
  <c r="D66" i="2"/>
  <c r="E66" i="2" s="1"/>
  <c r="F66" i="2" s="1"/>
  <c r="D65" i="2"/>
  <c r="E65" i="2" s="1"/>
  <c r="F65" i="2" s="1"/>
  <c r="D64" i="2"/>
  <c r="E64" i="2" s="1"/>
  <c r="F64" i="2" s="1"/>
  <c r="D63" i="2"/>
  <c r="E63" i="2" s="1"/>
  <c r="F63" i="2" s="1"/>
  <c r="D62" i="2"/>
  <c r="E62" i="2" s="1"/>
  <c r="F62" i="2" s="1"/>
  <c r="D61" i="2"/>
  <c r="E61" i="2" s="1"/>
  <c r="F61" i="2" s="1"/>
  <c r="D60" i="2"/>
  <c r="E60" i="2" s="1"/>
  <c r="F60" i="2" s="1"/>
  <c r="D59" i="2"/>
  <c r="E59" i="2" s="1"/>
  <c r="F59" i="2" s="1"/>
  <c r="D58" i="2"/>
  <c r="E58" i="2" s="1"/>
  <c r="F58" i="2" s="1"/>
  <c r="D57" i="2"/>
  <c r="E57" i="2" s="1"/>
  <c r="F57" i="2" s="1"/>
  <c r="D56" i="2"/>
  <c r="E56" i="2" s="1"/>
  <c r="F56" i="2" s="1"/>
  <c r="D55" i="2"/>
  <c r="E55" i="2" s="1"/>
  <c r="F55" i="2" s="1"/>
  <c r="D54" i="2"/>
  <c r="E54" i="2" s="1"/>
  <c r="F54" i="2" s="1"/>
  <c r="D53" i="2"/>
  <c r="E53" i="2" s="1"/>
  <c r="F53" i="2" s="1"/>
  <c r="D52" i="2"/>
  <c r="E52" i="2" s="1"/>
  <c r="F52" i="2" s="1"/>
  <c r="D51" i="2"/>
  <c r="E51" i="2" s="1"/>
  <c r="F51" i="2" s="1"/>
  <c r="D50" i="2"/>
  <c r="E50" i="2" s="1"/>
  <c r="F50" i="2" s="1"/>
  <c r="D49" i="2"/>
  <c r="E49" i="2" s="1"/>
  <c r="F49" i="2" s="1"/>
  <c r="D48" i="2"/>
  <c r="E48" i="2" s="1"/>
  <c r="F48" i="2" s="1"/>
  <c r="D47" i="2"/>
  <c r="E47" i="2" s="1"/>
  <c r="F47" i="2" s="1"/>
  <c r="D46" i="2"/>
  <c r="E46" i="2" s="1"/>
  <c r="F46" i="2" s="1"/>
  <c r="D45" i="2"/>
  <c r="E45" i="2" s="1"/>
  <c r="F45" i="2" s="1"/>
  <c r="D44" i="2"/>
  <c r="E44" i="2" s="1"/>
  <c r="F44" i="2" s="1"/>
  <c r="D43" i="2"/>
  <c r="E43" i="2" s="1"/>
  <c r="D42" i="2"/>
  <c r="E42" i="2" s="1"/>
  <c r="D41" i="2"/>
  <c r="E41" i="2" s="1"/>
  <c r="D35" i="2"/>
  <c r="E35" i="2" s="1"/>
  <c r="F35" i="2" s="1"/>
  <c r="D23" i="2"/>
  <c r="E23" i="2" s="1"/>
  <c r="F23" i="2" s="1"/>
  <c r="D24" i="2"/>
  <c r="E24" i="2" s="1"/>
  <c r="F24" i="2" s="1"/>
  <c r="D25" i="2"/>
  <c r="E25" i="2" s="1"/>
  <c r="F25" i="2" s="1"/>
  <c r="D26" i="2"/>
  <c r="E26" i="2" s="1"/>
  <c r="F26" i="2" s="1"/>
  <c r="D27" i="2"/>
  <c r="E27" i="2" s="1"/>
  <c r="F27" i="2" s="1"/>
  <c r="D28" i="2"/>
  <c r="E28" i="2" s="1"/>
  <c r="F28" i="2" s="1"/>
  <c r="D29" i="2"/>
  <c r="E29" i="2" s="1"/>
  <c r="F29" i="2" s="1"/>
  <c r="D30" i="2"/>
  <c r="E30" i="2" s="1"/>
  <c r="F30" i="2" s="1"/>
  <c r="D31" i="2"/>
  <c r="E31" i="2" s="1"/>
  <c r="F31" i="2" s="1"/>
  <c r="D32" i="2"/>
  <c r="E32" i="2" s="1"/>
  <c r="F32" i="2" s="1"/>
  <c r="D33" i="2"/>
  <c r="E33" i="2" s="1"/>
  <c r="F33" i="2" s="1"/>
  <c r="D34" i="2"/>
  <c r="E34" i="2" s="1"/>
  <c r="F34" i="2" s="1"/>
  <c r="D22" i="2"/>
  <c r="E22" i="2" s="1"/>
  <c r="F22" i="2" s="1"/>
  <c r="D21" i="2"/>
  <c r="E21" i="2" s="1"/>
  <c r="F21" i="2" s="1"/>
  <c r="D20" i="2"/>
  <c r="E20" i="2" s="1"/>
  <c r="F20" i="2" s="1"/>
  <c r="D19" i="2"/>
  <c r="E19" i="2" s="1"/>
  <c r="F19" i="2" s="1"/>
  <c r="D18" i="2"/>
  <c r="E18" i="2" s="1"/>
  <c r="F18" i="2" s="1"/>
  <c r="D17" i="2"/>
  <c r="E17" i="2" s="1"/>
  <c r="F17" i="2" s="1"/>
  <c r="D16" i="2"/>
  <c r="E16" i="2" s="1"/>
  <c r="F16" i="2" s="1"/>
  <c r="D15" i="2"/>
  <c r="E15" i="2" s="1"/>
  <c r="F15" i="2" s="1"/>
  <c r="D14" i="2"/>
  <c r="E14" i="2" s="1"/>
  <c r="F14" i="2" s="1"/>
  <c r="D13" i="2"/>
  <c r="E13" i="2" s="1"/>
  <c r="F13" i="2" s="1"/>
  <c r="D12" i="2"/>
  <c r="E12" i="2" s="1"/>
  <c r="F12" i="2" s="1"/>
  <c r="D11" i="2"/>
  <c r="E11" i="2" s="1"/>
  <c r="F11" i="2" s="1"/>
  <c r="D10" i="2"/>
  <c r="E10" i="2" s="1"/>
  <c r="F10" i="2" s="1"/>
  <c r="D9" i="2"/>
  <c r="E9" i="2" s="1"/>
  <c r="F9" i="2" s="1"/>
  <c r="D8" i="2"/>
  <c r="E8" i="2" s="1"/>
  <c r="F8" i="2" s="1"/>
  <c r="D7" i="2"/>
  <c r="E7" i="2" s="1"/>
  <c r="F7" i="2" s="1"/>
  <c r="D6" i="2"/>
  <c r="E6" i="2" s="1"/>
  <c r="F6" i="2" s="1"/>
  <c r="D5" i="2"/>
  <c r="E5" i="2" s="1"/>
  <c r="F5" i="2" s="1"/>
  <c r="D4" i="2"/>
  <c r="E4" i="2" s="1"/>
  <c r="F4" i="2" s="1"/>
  <c r="E13" i="1"/>
  <c r="E14" i="1"/>
  <c r="E15" i="1"/>
  <c r="D3" i="1"/>
  <c r="E3" i="1" s="1"/>
  <c r="D4" i="1"/>
  <c r="E4" i="1" s="1"/>
  <c r="D2" i="1"/>
  <c r="E2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D14" i="1"/>
  <c r="D15" i="1"/>
  <c r="D16" i="1"/>
  <c r="E16" i="1" s="1"/>
  <c r="D17" i="1"/>
  <c r="E17" i="1" s="1"/>
  <c r="D18" i="1"/>
  <c r="E18" i="1" s="1"/>
  <c r="D19" i="1"/>
  <c r="E19" i="1" s="1"/>
  <c r="D20" i="1"/>
  <c r="E20" i="1" s="1"/>
  <c r="D5" i="1"/>
  <c r="E5" i="1" s="1"/>
</calcChain>
</file>

<file path=xl/sharedStrings.xml><?xml version="1.0" encoding="utf-8"?>
<sst xmlns="http://schemas.openxmlformats.org/spreadsheetml/2006/main" count="282" uniqueCount="44">
  <si>
    <t>Joint</t>
  </si>
  <si>
    <t>Degrees/Length</t>
  </si>
  <si>
    <t>Pelvis x</t>
  </si>
  <si>
    <t>Pelvis y</t>
  </si>
  <si>
    <t>Pelvis z</t>
  </si>
  <si>
    <t>Pelvis orientation qx</t>
  </si>
  <si>
    <t>Pelvis orientation qy</t>
  </si>
  <si>
    <t>Pelvis orientation qz</t>
  </si>
  <si>
    <t>Left Hip Roll</t>
  </si>
  <si>
    <t>Left Hip Yaw</t>
  </si>
  <si>
    <t>Left Hip Pitch</t>
  </si>
  <si>
    <t>Left Achilles Rod wx</t>
  </si>
  <si>
    <t>Left Achilles Rod wy</t>
  </si>
  <si>
    <t>Left Achilles Rod wz</t>
  </si>
  <si>
    <t>Left Knee</t>
  </si>
  <si>
    <t>Left Shin</t>
  </si>
  <si>
    <t>Left Tarsus</t>
  </si>
  <si>
    <t>Left Heel Spring</t>
  </si>
  <si>
    <t>Left Foot Crank</t>
  </si>
  <si>
    <t>Left Plantar Rod</t>
  </si>
  <si>
    <t>Left Foot</t>
  </si>
  <si>
    <t>Right Hip Roll</t>
  </si>
  <si>
    <t>Right Hip Yaw</t>
  </si>
  <si>
    <t>Right Hip Pitch</t>
  </si>
  <si>
    <t>Right Achilles Rod wx</t>
  </si>
  <si>
    <t>Right Achilles Rod wy</t>
  </si>
  <si>
    <t>Right Achilles Rod wz</t>
  </si>
  <si>
    <t>Right Knee</t>
  </si>
  <si>
    <t>Right Shin</t>
  </si>
  <si>
    <t>Right Tarsus</t>
  </si>
  <si>
    <t>Right Heel Spring</t>
  </si>
  <si>
    <t>Right Foot Crank</t>
  </si>
  <si>
    <t>Right Plantar Rod</t>
  </si>
  <si>
    <t>Right Foot</t>
  </si>
  <si>
    <t>Rad/Length</t>
  </si>
  <si>
    <t>Length to Deg Scaling Factor</t>
  </si>
  <si>
    <t>L</t>
  </si>
  <si>
    <t>D</t>
  </si>
  <si>
    <t>Bryson's Calc (no scaling)</t>
  </si>
  <si>
    <t>Bryson's Calc (scaling)</t>
  </si>
  <si>
    <t>POSITIONS</t>
  </si>
  <si>
    <t>VELOCITIES</t>
  </si>
  <si>
    <t>Velocity Factor:</t>
  </si>
  <si>
    <t>Length to Deg Scaling Factor: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</si>
</sst>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1"/>
      <name val="Aptos Narrow"/>
      <scheme val="minor"/>
    </font>
    <font>
      <sz val="11"/>
      <color rgb="FF000000"/>
      <name val="Menlo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7">
    <xf numFmtId="0" fontId="0" fillId="0" borderId="0" xfId="0"/>
    <xf numFmtId="0" fontId="18" fillId="0" borderId="0" xfId="0" applyFont="1" applyAlignment="1">
      <alignment horizontal="left"/>
    </xf>
    <xf numFmtId="0" fontId="0" fillId="0" borderId="0" xfId="0" applyAlignment="1">
      <alignment horizontal="left"/>
    </xf>
    <xf numFmtId="2" fontId="0" fillId="0" borderId="10" xfId="0" applyNumberFormat="1" applyBorder="1" applyAlignment="1">
      <alignment horizontal="left"/>
    </xf>
    <xf numFmtId="2" fontId="0" fillId="0" borderId="11" xfId="0" applyNumberFormat="1" applyBorder="1" applyAlignment="1">
      <alignment horizontal="left"/>
    </xf>
    <xf numFmtId="0" fontId="0" fillId="0" borderId="11" xfId="0" applyBorder="1"/>
    <xf numFmtId="0" fontId="18" fillId="0" borderId="12" xfId="0" applyFont="1" applyBorder="1" applyAlignment="1">
      <alignment horizontal="left"/>
    </xf>
    <xf numFmtId="0" fontId="18" fillId="0" borderId="11" xfId="0" applyFont="1" applyBorder="1" applyAlignment="1">
      <alignment horizontal="left"/>
    </xf>
    <xf numFmtId="0" fontId="18" fillId="0" borderId="13" xfId="0" applyFont="1" applyBorder="1" applyAlignment="1">
      <alignment horizontal="left"/>
    </xf>
    <xf numFmtId="0" fontId="0" fillId="0" borderId="14" xfId="0" applyBorder="1" applyAlignment="1">
      <alignment horizontal="left"/>
    </xf>
    <xf numFmtId="2" fontId="0" fillId="0" borderId="0" xfId="0" applyNumberFormat="1" applyBorder="1" applyAlignment="1">
      <alignment horizontal="left"/>
    </xf>
    <xf numFmtId="0" fontId="0" fillId="0" borderId="15" xfId="0" applyBorder="1"/>
    <xf numFmtId="2" fontId="0" fillId="0" borderId="15" xfId="0" applyNumberFormat="1" applyBorder="1"/>
    <xf numFmtId="0" fontId="0" fillId="0" borderId="16" xfId="0" applyBorder="1" applyAlignment="1">
      <alignment horizontal="left"/>
    </xf>
    <xf numFmtId="2" fontId="0" fillId="0" borderId="17" xfId="0" applyNumberFormat="1" applyBorder="1"/>
    <xf numFmtId="0" fontId="0" fillId="0" borderId="12" xfId="0" applyBorder="1" applyAlignment="1">
      <alignment horizontal="left"/>
    </xf>
    <xf numFmtId="0" fontId="0" fillId="0" borderId="0" xfId="0" applyBorder="1"/>
    <xf numFmtId="0" fontId="0" fillId="0" borderId="10" xfId="0" applyBorder="1"/>
    <xf numFmtId="0" fontId="0" fillId="0" borderId="0" xfId="0" applyBorder="1" applyAlignment="1">
      <alignment horizontal="left"/>
    </xf>
    <xf numFmtId="2" fontId="0" fillId="0" borderId="0" xfId="0" applyNumberFormat="1" applyBorder="1"/>
    <xf numFmtId="0" fontId="18" fillId="0" borderId="0" xfId="0" applyFont="1" applyBorder="1" applyAlignment="1">
      <alignment horizontal="left"/>
    </xf>
    <xf numFmtId="2" fontId="18" fillId="0" borderId="0" xfId="0" applyNumberFormat="1" applyFont="1" applyBorder="1" applyAlignment="1">
      <alignment horizontal="left"/>
    </xf>
    <xf numFmtId="0" fontId="19" fillId="0" borderId="0" xfId="0" applyFont="1"/>
    <xf numFmtId="2" fontId="0" fillId="0" borderId="15" xfId="0" applyNumberFormat="1" applyBorder="1" applyAlignment="1">
      <alignment horizontal="left"/>
    </xf>
    <xf numFmtId="2" fontId="0" fillId="0" borderId="17" xfId="0" applyNumberFormat="1" applyBorder="1" applyAlignment="1">
      <alignment horizontal="left"/>
    </xf>
    <xf numFmtId="2" fontId="0" fillId="0" borderId="13" xfId="0" applyNumberFormat="1" applyBorder="1" applyAlignment="1">
      <alignment horizontal="left"/>
    </xf>
    <xf numFmtId="2" fontId="0" fillId="0" borderId="15" xfId="0" applyNumberFormat="1" applyFill="1" applyBorder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EBDF0-B2BC-564F-BD72-DA374C5FE78C}">
  <dimension ref="A1:E69"/>
  <sheetViews>
    <sheetView tabSelected="1" topLeftCell="A35" workbookViewId="0">
      <selection activeCell="B55" sqref="B55"/>
    </sheetView>
  </sheetViews>
  <sheetFormatPr baseColWidth="10" defaultRowHeight="16" x14ac:dyDescent="0.2"/>
  <cols>
    <col min="1" max="1" width="24.1640625" bestFit="1" customWidth="1"/>
    <col min="2" max="4" width="22" customWidth="1"/>
    <col min="5" max="5" width="24.1640625" customWidth="1"/>
    <col min="6" max="6" width="22.6640625" bestFit="1" customWidth="1"/>
  </cols>
  <sheetData>
    <row r="1" spans="1:5" x14ac:dyDescent="0.2">
      <c r="A1" s="6" t="s">
        <v>0</v>
      </c>
      <c r="B1" s="7" t="s">
        <v>1</v>
      </c>
      <c r="C1" s="7" t="s">
        <v>1</v>
      </c>
      <c r="D1" s="7" t="s">
        <v>34</v>
      </c>
      <c r="E1" s="8" t="s">
        <v>38</v>
      </c>
    </row>
    <row r="2" spans="1:5" x14ac:dyDescent="0.2">
      <c r="A2" s="9" t="s">
        <v>2</v>
      </c>
      <c r="B2" s="10">
        <v>0.04</v>
      </c>
      <c r="C2" s="10" t="s">
        <v>36</v>
      </c>
      <c r="D2" s="10">
        <f>B2</f>
        <v>0.04</v>
      </c>
      <c r="E2" s="23">
        <f>IF(D2&lt;&gt;0,1/(D2^2),0)</f>
        <v>625</v>
      </c>
    </row>
    <row r="3" spans="1:5" x14ac:dyDescent="0.2">
      <c r="A3" s="9" t="s">
        <v>3</v>
      </c>
      <c r="B3" s="10">
        <v>0.04</v>
      </c>
      <c r="C3" s="10" t="s">
        <v>36</v>
      </c>
      <c r="D3" s="10">
        <f>B3</f>
        <v>0.04</v>
      </c>
      <c r="E3" s="23">
        <f t="shared" ref="E3:E33" si="0">IF(D3&lt;&gt;0,1/(D3^2),0)</f>
        <v>625</v>
      </c>
    </row>
    <row r="4" spans="1:5" x14ac:dyDescent="0.2">
      <c r="A4" s="9" t="s">
        <v>4</v>
      </c>
      <c r="B4" s="10">
        <v>0.5</v>
      </c>
      <c r="C4" s="10" t="s">
        <v>36</v>
      </c>
      <c r="D4" s="10">
        <f>B4</f>
        <v>0.5</v>
      </c>
      <c r="E4" s="23">
        <f t="shared" si="0"/>
        <v>4</v>
      </c>
    </row>
    <row r="5" spans="1:5" x14ac:dyDescent="0.2">
      <c r="A5" s="9" t="s">
        <v>5</v>
      </c>
      <c r="B5" s="10">
        <v>10</v>
      </c>
      <c r="C5" s="10" t="s">
        <v>37</v>
      </c>
      <c r="D5" s="10">
        <f>RADIANS(B5)</f>
        <v>0.17453292519943295</v>
      </c>
      <c r="E5" s="23">
        <f t="shared" si="0"/>
        <v>32.828063500117445</v>
      </c>
    </row>
    <row r="6" spans="1:5" x14ac:dyDescent="0.2">
      <c r="A6" s="9" t="s">
        <v>6</v>
      </c>
      <c r="B6" s="10">
        <v>10</v>
      </c>
      <c r="C6" s="10" t="s">
        <v>37</v>
      </c>
      <c r="D6" s="10">
        <f>RADIANS(B6)</f>
        <v>0.17453292519943295</v>
      </c>
      <c r="E6" s="23">
        <f t="shared" si="0"/>
        <v>32.828063500117445</v>
      </c>
    </row>
    <row r="7" spans="1:5" x14ac:dyDescent="0.2">
      <c r="A7" s="13" t="s">
        <v>7</v>
      </c>
      <c r="B7" s="3">
        <v>10</v>
      </c>
      <c r="C7" s="3" t="s">
        <v>37</v>
      </c>
      <c r="D7" s="3">
        <f>RADIANS(B7)</f>
        <v>0.17453292519943295</v>
      </c>
      <c r="E7" s="24">
        <f t="shared" si="0"/>
        <v>32.828063500117445</v>
      </c>
    </row>
    <row r="8" spans="1:5" x14ac:dyDescent="0.2">
      <c r="A8" s="9" t="s">
        <v>8</v>
      </c>
      <c r="B8" s="10">
        <v>22.5</v>
      </c>
      <c r="C8" s="10" t="s">
        <v>37</v>
      </c>
      <c r="D8" s="10">
        <f>RADIANS(B8)</f>
        <v>0.39269908169872414</v>
      </c>
      <c r="E8" s="23">
        <f t="shared" si="0"/>
        <v>6.4845557531096176</v>
      </c>
    </row>
    <row r="9" spans="1:5" x14ac:dyDescent="0.2">
      <c r="A9" s="9" t="s">
        <v>9</v>
      </c>
      <c r="B9" s="10">
        <v>22.5</v>
      </c>
      <c r="C9" s="10" t="s">
        <v>37</v>
      </c>
      <c r="D9" s="10">
        <f>RADIANS(B9)</f>
        <v>0.39269908169872414</v>
      </c>
      <c r="E9" s="23">
        <f t="shared" si="0"/>
        <v>6.4845557531096176</v>
      </c>
    </row>
    <row r="10" spans="1:5" x14ac:dyDescent="0.2">
      <c r="A10" s="9" t="s">
        <v>10</v>
      </c>
      <c r="B10" s="10">
        <v>45</v>
      </c>
      <c r="C10" s="10" t="s">
        <v>37</v>
      </c>
      <c r="D10" s="10">
        <f>RADIANS(B10)</f>
        <v>0.78539816339744828</v>
      </c>
      <c r="E10" s="23">
        <f t="shared" si="0"/>
        <v>1.6211389382774044</v>
      </c>
    </row>
    <row r="11" spans="1:5" x14ac:dyDescent="0.2">
      <c r="A11" s="9" t="s">
        <v>11</v>
      </c>
      <c r="B11" s="10">
        <v>0</v>
      </c>
      <c r="C11" s="10" t="s">
        <v>37</v>
      </c>
      <c r="D11" s="10">
        <f>RADIANS(B11)</f>
        <v>0</v>
      </c>
      <c r="E11" s="23">
        <f t="shared" si="0"/>
        <v>0</v>
      </c>
    </row>
    <row r="12" spans="1:5" x14ac:dyDescent="0.2">
      <c r="A12" s="9" t="s">
        <v>12</v>
      </c>
      <c r="B12" s="10">
        <v>0</v>
      </c>
      <c r="C12" s="10" t="s">
        <v>37</v>
      </c>
      <c r="D12" s="10">
        <f>RADIANS(B12)</f>
        <v>0</v>
      </c>
      <c r="E12" s="23">
        <f t="shared" si="0"/>
        <v>0</v>
      </c>
    </row>
    <row r="13" spans="1:5" x14ac:dyDescent="0.2">
      <c r="A13" s="9" t="s">
        <v>13</v>
      </c>
      <c r="B13" s="10">
        <v>0</v>
      </c>
      <c r="C13" s="10" t="s">
        <v>37</v>
      </c>
      <c r="D13" s="10">
        <f>RADIANS(B13)</f>
        <v>0</v>
      </c>
      <c r="E13" s="23">
        <f t="shared" si="0"/>
        <v>0</v>
      </c>
    </row>
    <row r="14" spans="1:5" x14ac:dyDescent="0.2">
      <c r="A14" s="9" t="s">
        <v>14</v>
      </c>
      <c r="B14" s="10">
        <v>45</v>
      </c>
      <c r="C14" s="10" t="s">
        <v>37</v>
      </c>
      <c r="D14" s="10">
        <f>RADIANS(B14)</f>
        <v>0.78539816339744828</v>
      </c>
      <c r="E14" s="23">
        <f t="shared" si="0"/>
        <v>1.6211389382774044</v>
      </c>
    </row>
    <row r="15" spans="1:5" x14ac:dyDescent="0.2">
      <c r="A15" s="9" t="s">
        <v>15</v>
      </c>
      <c r="B15" s="10">
        <v>0</v>
      </c>
      <c r="C15" s="10" t="s">
        <v>37</v>
      </c>
      <c r="D15" s="10">
        <f>RADIANS(B15)</f>
        <v>0</v>
      </c>
      <c r="E15" s="23">
        <f t="shared" si="0"/>
        <v>0</v>
      </c>
    </row>
    <row r="16" spans="1:5" x14ac:dyDescent="0.2">
      <c r="A16" s="9" t="s">
        <v>16</v>
      </c>
      <c r="B16" s="10">
        <v>0</v>
      </c>
      <c r="C16" s="10" t="s">
        <v>37</v>
      </c>
      <c r="D16" s="10">
        <f>RADIANS(B16)</f>
        <v>0</v>
      </c>
      <c r="E16" s="23">
        <f t="shared" si="0"/>
        <v>0</v>
      </c>
    </row>
    <row r="17" spans="1:5" x14ac:dyDescent="0.2">
      <c r="A17" s="9" t="s">
        <v>17</v>
      </c>
      <c r="B17" s="10">
        <v>0</v>
      </c>
      <c r="C17" s="10" t="s">
        <v>37</v>
      </c>
      <c r="D17" s="10">
        <f>RADIANS(B17)</f>
        <v>0</v>
      </c>
      <c r="E17" s="23">
        <f t="shared" si="0"/>
        <v>0</v>
      </c>
    </row>
    <row r="18" spans="1:5" x14ac:dyDescent="0.2">
      <c r="A18" s="9" t="s">
        <v>18</v>
      </c>
      <c r="B18" s="10">
        <v>0</v>
      </c>
      <c r="C18" s="10" t="s">
        <v>37</v>
      </c>
      <c r="D18" s="10">
        <f>RADIANS(B18)</f>
        <v>0</v>
      </c>
      <c r="E18" s="23">
        <f t="shared" si="0"/>
        <v>0</v>
      </c>
    </row>
    <row r="19" spans="1:5" x14ac:dyDescent="0.2">
      <c r="A19" s="9" t="s">
        <v>19</v>
      </c>
      <c r="B19" s="10">
        <v>0</v>
      </c>
      <c r="C19" s="10" t="s">
        <v>37</v>
      </c>
      <c r="D19" s="10">
        <f>RADIANS(B19)</f>
        <v>0</v>
      </c>
      <c r="E19" s="23">
        <f t="shared" si="0"/>
        <v>0</v>
      </c>
    </row>
    <row r="20" spans="1:5" x14ac:dyDescent="0.2">
      <c r="A20" s="9" t="s">
        <v>20</v>
      </c>
      <c r="B20" s="10">
        <v>20</v>
      </c>
      <c r="C20" s="10" t="s">
        <v>37</v>
      </c>
      <c r="D20" s="10">
        <f>RADIANS(B20)</f>
        <v>0.3490658503988659</v>
      </c>
      <c r="E20" s="23">
        <f t="shared" si="0"/>
        <v>8.2070158750293611</v>
      </c>
    </row>
    <row r="21" spans="1:5" x14ac:dyDescent="0.2">
      <c r="A21" s="15" t="s">
        <v>21</v>
      </c>
      <c r="B21" s="4">
        <f>B8</f>
        <v>22.5</v>
      </c>
      <c r="C21" s="4" t="s">
        <v>37</v>
      </c>
      <c r="D21" s="4">
        <f>RADIANS(B21)</f>
        <v>0.39269908169872414</v>
      </c>
      <c r="E21" s="25">
        <f t="shared" si="0"/>
        <v>6.4845557531096176</v>
      </c>
    </row>
    <row r="22" spans="1:5" x14ac:dyDescent="0.2">
      <c r="A22" s="9" t="s">
        <v>22</v>
      </c>
      <c r="B22" s="10">
        <f t="shared" ref="B22:B33" si="1">B9</f>
        <v>22.5</v>
      </c>
      <c r="C22" s="10" t="s">
        <v>37</v>
      </c>
      <c r="D22" s="10">
        <f>RADIANS(B22)</f>
        <v>0.39269908169872414</v>
      </c>
      <c r="E22" s="23">
        <f t="shared" si="0"/>
        <v>6.4845557531096176</v>
      </c>
    </row>
    <row r="23" spans="1:5" x14ac:dyDescent="0.2">
      <c r="A23" s="9" t="s">
        <v>23</v>
      </c>
      <c r="B23" s="10">
        <f t="shared" si="1"/>
        <v>45</v>
      </c>
      <c r="C23" s="10" t="s">
        <v>37</v>
      </c>
      <c r="D23" s="10">
        <f>RADIANS(B23)</f>
        <v>0.78539816339744828</v>
      </c>
      <c r="E23" s="23">
        <f t="shared" si="0"/>
        <v>1.6211389382774044</v>
      </c>
    </row>
    <row r="24" spans="1:5" x14ac:dyDescent="0.2">
      <c r="A24" s="9" t="s">
        <v>24</v>
      </c>
      <c r="B24" s="10">
        <f t="shared" si="1"/>
        <v>0</v>
      </c>
      <c r="C24" s="10" t="s">
        <v>37</v>
      </c>
      <c r="D24" s="10">
        <f>RADIANS(B24)</f>
        <v>0</v>
      </c>
      <c r="E24" s="23">
        <f t="shared" si="0"/>
        <v>0</v>
      </c>
    </row>
    <row r="25" spans="1:5" x14ac:dyDescent="0.2">
      <c r="A25" s="9" t="s">
        <v>25</v>
      </c>
      <c r="B25" s="10">
        <f t="shared" si="1"/>
        <v>0</v>
      </c>
      <c r="C25" s="10" t="s">
        <v>37</v>
      </c>
      <c r="D25" s="10">
        <f>RADIANS(B25)</f>
        <v>0</v>
      </c>
      <c r="E25" s="23">
        <f t="shared" si="0"/>
        <v>0</v>
      </c>
    </row>
    <row r="26" spans="1:5" x14ac:dyDescent="0.2">
      <c r="A26" s="9" t="s">
        <v>26</v>
      </c>
      <c r="B26" s="10">
        <f t="shared" si="1"/>
        <v>0</v>
      </c>
      <c r="C26" s="10" t="s">
        <v>37</v>
      </c>
      <c r="D26" s="10">
        <f>RADIANS(B26)</f>
        <v>0</v>
      </c>
      <c r="E26" s="23">
        <f t="shared" si="0"/>
        <v>0</v>
      </c>
    </row>
    <row r="27" spans="1:5" x14ac:dyDescent="0.2">
      <c r="A27" s="9" t="s">
        <v>27</v>
      </c>
      <c r="B27" s="10">
        <f t="shared" si="1"/>
        <v>45</v>
      </c>
      <c r="C27" s="10" t="s">
        <v>37</v>
      </c>
      <c r="D27" s="10">
        <f>RADIANS(B27)</f>
        <v>0.78539816339744828</v>
      </c>
      <c r="E27" s="23">
        <f t="shared" si="0"/>
        <v>1.6211389382774044</v>
      </c>
    </row>
    <row r="28" spans="1:5" x14ac:dyDescent="0.2">
      <c r="A28" s="9" t="s">
        <v>28</v>
      </c>
      <c r="B28" s="10">
        <f t="shared" si="1"/>
        <v>0</v>
      </c>
      <c r="C28" s="10" t="s">
        <v>37</v>
      </c>
      <c r="D28" s="10">
        <f>RADIANS(B28)</f>
        <v>0</v>
      </c>
      <c r="E28" s="23">
        <f t="shared" si="0"/>
        <v>0</v>
      </c>
    </row>
    <row r="29" spans="1:5" x14ac:dyDescent="0.2">
      <c r="A29" s="9" t="s">
        <v>29</v>
      </c>
      <c r="B29" s="10">
        <f t="shared" si="1"/>
        <v>0</v>
      </c>
      <c r="C29" s="10" t="s">
        <v>37</v>
      </c>
      <c r="D29" s="10">
        <f>RADIANS(B29)</f>
        <v>0</v>
      </c>
      <c r="E29" s="23">
        <f t="shared" si="0"/>
        <v>0</v>
      </c>
    </row>
    <row r="30" spans="1:5" x14ac:dyDescent="0.2">
      <c r="A30" s="9" t="s">
        <v>30</v>
      </c>
      <c r="B30" s="10">
        <f t="shared" si="1"/>
        <v>0</v>
      </c>
      <c r="C30" s="10" t="s">
        <v>37</v>
      </c>
      <c r="D30" s="10">
        <f>RADIANS(B30)</f>
        <v>0</v>
      </c>
      <c r="E30" s="23">
        <f t="shared" si="0"/>
        <v>0</v>
      </c>
    </row>
    <row r="31" spans="1:5" x14ac:dyDescent="0.2">
      <c r="A31" s="9" t="s">
        <v>31</v>
      </c>
      <c r="B31" s="10">
        <f t="shared" si="1"/>
        <v>0</v>
      </c>
      <c r="C31" s="10" t="s">
        <v>37</v>
      </c>
      <c r="D31" s="10">
        <f>RADIANS(B31)</f>
        <v>0</v>
      </c>
      <c r="E31" s="23">
        <f t="shared" si="0"/>
        <v>0</v>
      </c>
    </row>
    <row r="32" spans="1:5" x14ac:dyDescent="0.2">
      <c r="A32" s="9" t="s">
        <v>32</v>
      </c>
      <c r="B32" s="10">
        <f t="shared" si="1"/>
        <v>0</v>
      </c>
      <c r="C32" s="10" t="s">
        <v>37</v>
      </c>
      <c r="D32" s="10">
        <f>RADIANS(B32)</f>
        <v>0</v>
      </c>
      <c r="E32" s="23">
        <f t="shared" si="0"/>
        <v>0</v>
      </c>
    </row>
    <row r="33" spans="1:5" x14ac:dyDescent="0.2">
      <c r="A33" s="13" t="s">
        <v>33</v>
      </c>
      <c r="B33" s="10">
        <f t="shared" si="1"/>
        <v>20</v>
      </c>
      <c r="C33" s="3" t="s">
        <v>37</v>
      </c>
      <c r="D33" s="3">
        <f>RADIANS(B33)</f>
        <v>0.3490658503988659</v>
      </c>
      <c r="E33" s="24">
        <f t="shared" si="0"/>
        <v>8.2070158750293611</v>
      </c>
    </row>
    <row r="34" spans="1:5" x14ac:dyDescent="0.2">
      <c r="E34" s="26"/>
    </row>
    <row r="35" spans="1:5" x14ac:dyDescent="0.2">
      <c r="A35" s="20" t="s">
        <v>42</v>
      </c>
      <c r="B35" s="21">
        <v>2.5</v>
      </c>
      <c r="C35" s="16"/>
      <c r="D35" s="10"/>
      <c r="E35" s="10"/>
    </row>
    <row r="37" spans="1:5" x14ac:dyDescent="0.2">
      <c r="A37" s="6" t="s">
        <v>41</v>
      </c>
      <c r="B37" s="7" t="s">
        <v>1</v>
      </c>
      <c r="C37" s="7" t="s">
        <v>1</v>
      </c>
      <c r="D37" s="7" t="s">
        <v>34</v>
      </c>
      <c r="E37" s="8" t="s">
        <v>38</v>
      </c>
    </row>
    <row r="38" spans="1:5" x14ac:dyDescent="0.2">
      <c r="A38" s="9" t="s">
        <v>2</v>
      </c>
      <c r="B38" s="10">
        <v>0.08</v>
      </c>
      <c r="C38" s="10" t="s">
        <v>36</v>
      </c>
      <c r="D38" s="10">
        <f>B38</f>
        <v>0.08</v>
      </c>
      <c r="E38" s="23">
        <f>IF(D38&lt;&gt;0,1/(D38^2),0)</f>
        <v>156.25</v>
      </c>
    </row>
    <row r="39" spans="1:5" x14ac:dyDescent="0.2">
      <c r="A39" s="9" t="s">
        <v>3</v>
      </c>
      <c r="B39" s="10">
        <v>0.08</v>
      </c>
      <c r="C39" s="10" t="s">
        <v>36</v>
      </c>
      <c r="D39" s="10">
        <f>B39</f>
        <v>0.08</v>
      </c>
      <c r="E39" s="23">
        <f t="shared" ref="E39:E69" si="2">IF(D39&lt;&gt;0,1/(D39^2),0)</f>
        <v>156.25</v>
      </c>
    </row>
    <row r="40" spans="1:5" x14ac:dyDescent="0.2">
      <c r="A40" s="9" t="s">
        <v>4</v>
      </c>
      <c r="B40" s="10">
        <v>0.2</v>
      </c>
      <c r="C40" s="10" t="s">
        <v>36</v>
      </c>
      <c r="D40" s="10">
        <f>B40</f>
        <v>0.2</v>
      </c>
      <c r="E40" s="23">
        <f t="shared" si="2"/>
        <v>24.999999999999996</v>
      </c>
    </row>
    <row r="41" spans="1:5" x14ac:dyDescent="0.2">
      <c r="A41" s="9" t="s">
        <v>5</v>
      </c>
      <c r="B41" s="10">
        <v>25</v>
      </c>
      <c r="C41" s="10" t="s">
        <v>37</v>
      </c>
      <c r="D41" s="10">
        <f>RADIANS(B41)</f>
        <v>0.43633231299858238</v>
      </c>
      <c r="E41" s="23">
        <f t="shared" si="2"/>
        <v>5.2524901600187901</v>
      </c>
    </row>
    <row r="42" spans="1:5" x14ac:dyDescent="0.2">
      <c r="A42" s="9" t="s">
        <v>6</v>
      </c>
      <c r="B42" s="10">
        <v>25</v>
      </c>
      <c r="C42" s="10" t="s">
        <v>37</v>
      </c>
      <c r="D42" s="10">
        <f>RADIANS(B42)</f>
        <v>0.43633231299858238</v>
      </c>
      <c r="E42" s="23">
        <f t="shared" si="2"/>
        <v>5.2524901600187901</v>
      </c>
    </row>
    <row r="43" spans="1:5" x14ac:dyDescent="0.2">
      <c r="A43" s="13" t="s">
        <v>7</v>
      </c>
      <c r="B43" s="3">
        <v>25</v>
      </c>
      <c r="C43" s="3" t="s">
        <v>37</v>
      </c>
      <c r="D43" s="3">
        <f>RADIANS(B43)</f>
        <v>0.43633231299858238</v>
      </c>
      <c r="E43" s="24">
        <f t="shared" si="2"/>
        <v>5.2524901600187901</v>
      </c>
    </row>
    <row r="44" spans="1:5" x14ac:dyDescent="0.2">
      <c r="A44" s="9" t="s">
        <v>8</v>
      </c>
      <c r="B44" s="4">
        <v>10</v>
      </c>
      <c r="C44" s="10" t="s">
        <v>37</v>
      </c>
      <c r="D44" s="10">
        <f>RADIANS(B44)</f>
        <v>0.17453292519943295</v>
      </c>
      <c r="E44" s="23">
        <f t="shared" si="2"/>
        <v>32.828063500117445</v>
      </c>
    </row>
    <row r="45" spans="1:5" x14ac:dyDescent="0.2">
      <c r="A45" s="9" t="s">
        <v>9</v>
      </c>
      <c r="B45" s="10">
        <v>10</v>
      </c>
      <c r="C45" s="10" t="s">
        <v>37</v>
      </c>
      <c r="D45" s="10">
        <f>RADIANS(B45)</f>
        <v>0.17453292519943295</v>
      </c>
      <c r="E45" s="23">
        <f t="shared" si="2"/>
        <v>32.828063500117445</v>
      </c>
    </row>
    <row r="46" spans="1:5" x14ac:dyDescent="0.2">
      <c r="A46" s="9" t="s">
        <v>10</v>
      </c>
      <c r="B46" s="10">
        <v>40</v>
      </c>
      <c r="C46" s="10" t="s">
        <v>37</v>
      </c>
      <c r="D46" s="10">
        <f>RADIANS(B46)</f>
        <v>0.69813170079773179</v>
      </c>
      <c r="E46" s="23">
        <f t="shared" si="2"/>
        <v>2.0517539687573403</v>
      </c>
    </row>
    <row r="47" spans="1:5" x14ac:dyDescent="0.2">
      <c r="A47" s="9" t="s">
        <v>11</v>
      </c>
      <c r="B47" s="10">
        <v>0</v>
      </c>
      <c r="C47" s="10" t="s">
        <v>37</v>
      </c>
      <c r="D47" s="10">
        <f>RADIANS(B47)</f>
        <v>0</v>
      </c>
      <c r="E47" s="23">
        <f t="shared" si="2"/>
        <v>0</v>
      </c>
    </row>
    <row r="48" spans="1:5" x14ac:dyDescent="0.2">
      <c r="A48" s="9" t="s">
        <v>12</v>
      </c>
      <c r="B48" s="10">
        <v>0</v>
      </c>
      <c r="C48" s="10" t="s">
        <v>37</v>
      </c>
      <c r="D48" s="10">
        <f>RADIANS(B48)</f>
        <v>0</v>
      </c>
      <c r="E48" s="23">
        <f t="shared" si="2"/>
        <v>0</v>
      </c>
    </row>
    <row r="49" spans="1:5" x14ac:dyDescent="0.2">
      <c r="A49" s="9" t="s">
        <v>13</v>
      </c>
      <c r="B49" s="10">
        <v>0</v>
      </c>
      <c r="C49" s="10" t="s">
        <v>37</v>
      </c>
      <c r="D49" s="10">
        <f>RADIANS(B49)</f>
        <v>0</v>
      </c>
      <c r="E49" s="23">
        <f t="shared" si="2"/>
        <v>0</v>
      </c>
    </row>
    <row r="50" spans="1:5" x14ac:dyDescent="0.2">
      <c r="A50" s="9" t="s">
        <v>14</v>
      </c>
      <c r="B50" s="10">
        <v>40</v>
      </c>
      <c r="C50" s="10" t="s">
        <v>37</v>
      </c>
      <c r="D50" s="10">
        <f>RADIANS(B50)</f>
        <v>0.69813170079773179</v>
      </c>
      <c r="E50" s="23">
        <f t="shared" si="2"/>
        <v>2.0517539687573403</v>
      </c>
    </row>
    <row r="51" spans="1:5" x14ac:dyDescent="0.2">
      <c r="A51" s="9" t="s">
        <v>15</v>
      </c>
      <c r="B51" s="10">
        <v>0</v>
      </c>
      <c r="C51" s="10" t="s">
        <v>37</v>
      </c>
      <c r="D51" s="10">
        <f>RADIANS(B51)</f>
        <v>0</v>
      </c>
      <c r="E51" s="23">
        <f t="shared" si="2"/>
        <v>0</v>
      </c>
    </row>
    <row r="52" spans="1:5" x14ac:dyDescent="0.2">
      <c r="A52" s="9" t="s">
        <v>16</v>
      </c>
      <c r="B52" s="10">
        <v>0</v>
      </c>
      <c r="C52" s="10" t="s">
        <v>37</v>
      </c>
      <c r="D52" s="10">
        <f>RADIANS(B52)</f>
        <v>0</v>
      </c>
      <c r="E52" s="23">
        <f t="shared" si="2"/>
        <v>0</v>
      </c>
    </row>
    <row r="53" spans="1:5" x14ac:dyDescent="0.2">
      <c r="A53" s="9" t="s">
        <v>17</v>
      </c>
      <c r="B53" s="10">
        <v>0</v>
      </c>
      <c r="C53" s="10" t="s">
        <v>37</v>
      </c>
      <c r="D53" s="10">
        <f>RADIANS(B53)</f>
        <v>0</v>
      </c>
      <c r="E53" s="23">
        <f t="shared" si="2"/>
        <v>0</v>
      </c>
    </row>
    <row r="54" spans="1:5" x14ac:dyDescent="0.2">
      <c r="A54" s="9" t="s">
        <v>18</v>
      </c>
      <c r="B54" s="10">
        <v>0</v>
      </c>
      <c r="C54" s="10" t="s">
        <v>37</v>
      </c>
      <c r="D54" s="10">
        <f>RADIANS(B54)</f>
        <v>0</v>
      </c>
      <c r="E54" s="23">
        <f t="shared" si="2"/>
        <v>0</v>
      </c>
    </row>
    <row r="55" spans="1:5" x14ac:dyDescent="0.2">
      <c r="A55" s="9" t="s">
        <v>19</v>
      </c>
      <c r="B55" s="10">
        <v>0</v>
      </c>
      <c r="C55" s="10" t="s">
        <v>37</v>
      </c>
      <c r="D55" s="10">
        <f>RADIANS(B55)</f>
        <v>0</v>
      </c>
      <c r="E55" s="23">
        <f t="shared" si="2"/>
        <v>0</v>
      </c>
    </row>
    <row r="56" spans="1:5" x14ac:dyDescent="0.2">
      <c r="A56" s="9" t="s">
        <v>20</v>
      </c>
      <c r="B56" s="3">
        <v>20</v>
      </c>
      <c r="C56" s="10" t="s">
        <v>37</v>
      </c>
      <c r="D56" s="3">
        <f>RADIANS(B56)</f>
        <v>0.3490658503988659</v>
      </c>
      <c r="E56" s="24">
        <f t="shared" si="2"/>
        <v>8.2070158750293611</v>
      </c>
    </row>
    <row r="57" spans="1:5" x14ac:dyDescent="0.2">
      <c r="A57" s="15" t="s">
        <v>21</v>
      </c>
      <c r="B57" s="4">
        <f>B44</f>
        <v>10</v>
      </c>
      <c r="C57" s="5" t="s">
        <v>37</v>
      </c>
      <c r="D57" s="10">
        <f t="shared" ref="D57:D68" si="3">RADIANS(B57)</f>
        <v>0.17453292519943295</v>
      </c>
      <c r="E57" s="23">
        <f t="shared" si="2"/>
        <v>32.828063500117445</v>
      </c>
    </row>
    <row r="58" spans="1:5" x14ac:dyDescent="0.2">
      <c r="A58" s="9" t="s">
        <v>22</v>
      </c>
      <c r="B58" s="10">
        <f t="shared" ref="B58:B69" si="4">B45</f>
        <v>10</v>
      </c>
      <c r="C58" s="10" t="s">
        <v>37</v>
      </c>
      <c r="D58" s="10">
        <f t="shared" si="3"/>
        <v>0.17453292519943295</v>
      </c>
      <c r="E58" s="23">
        <f t="shared" si="2"/>
        <v>32.828063500117445</v>
      </c>
    </row>
    <row r="59" spans="1:5" x14ac:dyDescent="0.2">
      <c r="A59" s="9" t="s">
        <v>23</v>
      </c>
      <c r="B59" s="10">
        <f t="shared" si="4"/>
        <v>40</v>
      </c>
      <c r="C59" s="10" t="s">
        <v>37</v>
      </c>
      <c r="D59" s="10">
        <f t="shared" si="3"/>
        <v>0.69813170079773179</v>
      </c>
      <c r="E59" s="23">
        <f t="shared" si="2"/>
        <v>2.0517539687573403</v>
      </c>
    </row>
    <row r="60" spans="1:5" x14ac:dyDescent="0.2">
      <c r="A60" s="9" t="s">
        <v>24</v>
      </c>
      <c r="B60" s="10">
        <f t="shared" si="4"/>
        <v>0</v>
      </c>
      <c r="C60" s="10" t="s">
        <v>37</v>
      </c>
      <c r="D60" s="10">
        <f t="shared" si="3"/>
        <v>0</v>
      </c>
      <c r="E60" s="23">
        <f t="shared" si="2"/>
        <v>0</v>
      </c>
    </row>
    <row r="61" spans="1:5" x14ac:dyDescent="0.2">
      <c r="A61" s="9" t="s">
        <v>25</v>
      </c>
      <c r="B61" s="10">
        <f t="shared" si="4"/>
        <v>0</v>
      </c>
      <c r="C61" s="10" t="s">
        <v>37</v>
      </c>
      <c r="D61" s="10">
        <f t="shared" si="3"/>
        <v>0</v>
      </c>
      <c r="E61" s="23">
        <f t="shared" si="2"/>
        <v>0</v>
      </c>
    </row>
    <row r="62" spans="1:5" x14ac:dyDescent="0.2">
      <c r="A62" s="9" t="s">
        <v>26</v>
      </c>
      <c r="B62" s="10">
        <f t="shared" si="4"/>
        <v>0</v>
      </c>
      <c r="C62" s="10" t="s">
        <v>37</v>
      </c>
      <c r="D62" s="10">
        <f t="shared" si="3"/>
        <v>0</v>
      </c>
      <c r="E62" s="23">
        <f t="shared" si="2"/>
        <v>0</v>
      </c>
    </row>
    <row r="63" spans="1:5" x14ac:dyDescent="0.2">
      <c r="A63" s="9" t="s">
        <v>27</v>
      </c>
      <c r="B63" s="10">
        <f t="shared" si="4"/>
        <v>40</v>
      </c>
      <c r="C63" s="10" t="s">
        <v>37</v>
      </c>
      <c r="D63" s="10">
        <f t="shared" si="3"/>
        <v>0.69813170079773179</v>
      </c>
      <c r="E63" s="23">
        <f t="shared" si="2"/>
        <v>2.0517539687573403</v>
      </c>
    </row>
    <row r="64" spans="1:5" x14ac:dyDescent="0.2">
      <c r="A64" s="9" t="s">
        <v>28</v>
      </c>
      <c r="B64" s="10">
        <f t="shared" si="4"/>
        <v>0</v>
      </c>
      <c r="C64" s="10" t="s">
        <v>37</v>
      </c>
      <c r="D64" s="10">
        <f t="shared" si="3"/>
        <v>0</v>
      </c>
      <c r="E64" s="23">
        <f t="shared" si="2"/>
        <v>0</v>
      </c>
    </row>
    <row r="65" spans="1:5" x14ac:dyDescent="0.2">
      <c r="A65" s="9" t="s">
        <v>29</v>
      </c>
      <c r="B65" s="10">
        <f t="shared" si="4"/>
        <v>0</v>
      </c>
      <c r="C65" s="10" t="s">
        <v>37</v>
      </c>
      <c r="D65" s="10">
        <f t="shared" si="3"/>
        <v>0</v>
      </c>
      <c r="E65" s="23">
        <f t="shared" si="2"/>
        <v>0</v>
      </c>
    </row>
    <row r="66" spans="1:5" x14ac:dyDescent="0.2">
      <c r="A66" s="9" t="s">
        <v>30</v>
      </c>
      <c r="B66" s="10">
        <f t="shared" si="4"/>
        <v>0</v>
      </c>
      <c r="C66" s="10" t="s">
        <v>37</v>
      </c>
      <c r="D66" s="10">
        <f t="shared" si="3"/>
        <v>0</v>
      </c>
      <c r="E66" s="23">
        <f t="shared" si="2"/>
        <v>0</v>
      </c>
    </row>
    <row r="67" spans="1:5" x14ac:dyDescent="0.2">
      <c r="A67" s="9" t="s">
        <v>31</v>
      </c>
      <c r="B67" s="10">
        <f t="shared" si="4"/>
        <v>0</v>
      </c>
      <c r="C67" s="10" t="s">
        <v>37</v>
      </c>
      <c r="D67" s="10">
        <f t="shared" si="3"/>
        <v>0</v>
      </c>
      <c r="E67" s="23">
        <f t="shared" si="2"/>
        <v>0</v>
      </c>
    </row>
    <row r="68" spans="1:5" x14ac:dyDescent="0.2">
      <c r="A68" s="9" t="s">
        <v>32</v>
      </c>
      <c r="B68" s="10">
        <f t="shared" si="4"/>
        <v>0</v>
      </c>
      <c r="C68" s="10" t="s">
        <v>37</v>
      </c>
      <c r="D68" s="10">
        <f t="shared" si="3"/>
        <v>0</v>
      </c>
      <c r="E68" s="23">
        <f t="shared" si="2"/>
        <v>0</v>
      </c>
    </row>
    <row r="69" spans="1:5" x14ac:dyDescent="0.2">
      <c r="A69" s="13" t="s">
        <v>33</v>
      </c>
      <c r="B69" s="10">
        <f t="shared" si="4"/>
        <v>20</v>
      </c>
      <c r="C69" s="17" t="s">
        <v>37</v>
      </c>
      <c r="D69" s="3">
        <f>RADIANS(B69)</f>
        <v>0.3490658503988659</v>
      </c>
      <c r="E69" s="24">
        <f t="shared" si="2"/>
        <v>8.2070158750293611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463DB-42FB-D446-82F1-B184113A5E55}">
  <dimension ref="A1:F72"/>
  <sheetViews>
    <sheetView topLeftCell="A51" zoomScale="125" workbookViewId="0">
      <selection activeCell="E23" sqref="E23:E28"/>
    </sheetView>
  </sheetViews>
  <sheetFormatPr baseColWidth="10" defaultRowHeight="16" x14ac:dyDescent="0.2"/>
  <cols>
    <col min="1" max="1" width="24.83203125" bestFit="1" customWidth="1"/>
    <col min="2" max="4" width="22" customWidth="1"/>
    <col min="5" max="5" width="24.1640625" customWidth="1"/>
    <col min="6" max="6" width="22.6640625" bestFit="1" customWidth="1"/>
  </cols>
  <sheetData>
    <row r="1" spans="1:6" x14ac:dyDescent="0.2">
      <c r="A1" s="1" t="s">
        <v>35</v>
      </c>
      <c r="B1" s="1">
        <v>10</v>
      </c>
      <c r="C1" s="1"/>
      <c r="D1" s="2"/>
      <c r="E1" s="2"/>
    </row>
    <row r="2" spans="1:6" x14ac:dyDescent="0.2">
      <c r="A2" s="2"/>
      <c r="B2" s="2"/>
      <c r="C2" s="2"/>
      <c r="D2" s="2"/>
      <c r="E2" s="2"/>
    </row>
    <row r="3" spans="1:6" x14ac:dyDescent="0.2">
      <c r="A3" s="6" t="s">
        <v>40</v>
      </c>
      <c r="B3" s="7" t="s">
        <v>1</v>
      </c>
      <c r="C3" s="7" t="s">
        <v>1</v>
      </c>
      <c r="D3" s="7" t="s">
        <v>34</v>
      </c>
      <c r="E3" s="7" t="s">
        <v>38</v>
      </c>
      <c r="F3" s="8" t="s">
        <v>39</v>
      </c>
    </row>
    <row r="4" spans="1:6" x14ac:dyDescent="0.2">
      <c r="A4" s="9" t="s">
        <v>2</v>
      </c>
      <c r="B4" s="10">
        <v>0.04</v>
      </c>
      <c r="C4" s="10" t="s">
        <v>36</v>
      </c>
      <c r="D4" s="10">
        <f>B4</f>
        <v>0.04</v>
      </c>
      <c r="E4" s="10">
        <f>IF(D4&lt;&gt;0,1/(D4^2),0)</f>
        <v>625</v>
      </c>
      <c r="F4" s="11">
        <f>E4/$B$1</f>
        <v>62.5</v>
      </c>
    </row>
    <row r="5" spans="1:6" x14ac:dyDescent="0.2">
      <c r="A5" s="9" t="s">
        <v>3</v>
      </c>
      <c r="B5" s="10">
        <v>0.04</v>
      </c>
      <c r="C5" s="10" t="s">
        <v>36</v>
      </c>
      <c r="D5" s="10">
        <f>B5</f>
        <v>0.04</v>
      </c>
      <c r="E5" s="10">
        <f t="shared" ref="E5:E35" si="0">IF(D5&lt;&gt;0,1/(D5^2),0)</f>
        <v>625</v>
      </c>
      <c r="F5" s="11">
        <f t="shared" ref="F5:F6" si="1">E5/$B$1</f>
        <v>62.5</v>
      </c>
    </row>
    <row r="6" spans="1:6" x14ac:dyDescent="0.2">
      <c r="A6" s="9" t="s">
        <v>4</v>
      </c>
      <c r="B6" s="10">
        <v>0.1</v>
      </c>
      <c r="C6" s="10" t="s">
        <v>36</v>
      </c>
      <c r="D6" s="10">
        <f>B6</f>
        <v>0.1</v>
      </c>
      <c r="E6" s="10">
        <f t="shared" si="0"/>
        <v>99.999999999999986</v>
      </c>
      <c r="F6" s="11">
        <f t="shared" si="1"/>
        <v>9.9999999999999982</v>
      </c>
    </row>
    <row r="7" spans="1:6" x14ac:dyDescent="0.2">
      <c r="A7" s="9" t="s">
        <v>5</v>
      </c>
      <c r="B7" s="10">
        <v>10</v>
      </c>
      <c r="C7" s="10" t="s">
        <v>37</v>
      </c>
      <c r="D7" s="10">
        <f>RADIANS(B7)</f>
        <v>0.17453292519943295</v>
      </c>
      <c r="E7" s="10">
        <f t="shared" si="0"/>
        <v>32.828063500117445</v>
      </c>
      <c r="F7" s="12">
        <f>E7</f>
        <v>32.828063500117445</v>
      </c>
    </row>
    <row r="8" spans="1:6" x14ac:dyDescent="0.2">
      <c r="A8" s="9" t="s">
        <v>6</v>
      </c>
      <c r="B8" s="10">
        <v>10</v>
      </c>
      <c r="C8" s="10" t="s">
        <v>37</v>
      </c>
      <c r="D8" s="10">
        <f>RADIANS(B8)</f>
        <v>0.17453292519943295</v>
      </c>
      <c r="E8" s="10">
        <f t="shared" si="0"/>
        <v>32.828063500117445</v>
      </c>
      <c r="F8" s="12">
        <f t="shared" ref="F8:F35" si="2">E8</f>
        <v>32.828063500117445</v>
      </c>
    </row>
    <row r="9" spans="1:6" x14ac:dyDescent="0.2">
      <c r="A9" s="13" t="s">
        <v>7</v>
      </c>
      <c r="B9" s="3">
        <v>10</v>
      </c>
      <c r="C9" s="3" t="s">
        <v>37</v>
      </c>
      <c r="D9" s="3">
        <f>RADIANS(B9)</f>
        <v>0.17453292519943295</v>
      </c>
      <c r="E9" s="3">
        <f t="shared" si="0"/>
        <v>32.828063500117445</v>
      </c>
      <c r="F9" s="14">
        <f t="shared" si="2"/>
        <v>32.828063500117445</v>
      </c>
    </row>
    <row r="10" spans="1:6" x14ac:dyDescent="0.2">
      <c r="A10" s="9" t="s">
        <v>8</v>
      </c>
      <c r="B10" s="10">
        <v>50</v>
      </c>
      <c r="C10" s="10" t="s">
        <v>37</v>
      </c>
      <c r="D10" s="10">
        <f>RADIANS(B10)</f>
        <v>0.87266462599716477</v>
      </c>
      <c r="E10" s="10">
        <f t="shared" si="0"/>
        <v>1.3131225400046975</v>
      </c>
      <c r="F10" s="12">
        <f t="shared" si="2"/>
        <v>1.3131225400046975</v>
      </c>
    </row>
    <row r="11" spans="1:6" x14ac:dyDescent="0.2">
      <c r="A11" s="9" t="s">
        <v>9</v>
      </c>
      <c r="B11" s="10">
        <v>50</v>
      </c>
      <c r="C11" s="10" t="s">
        <v>37</v>
      </c>
      <c r="D11" s="10">
        <f>RADIANS(B11)</f>
        <v>0.87266462599716477</v>
      </c>
      <c r="E11" s="10">
        <f t="shared" si="0"/>
        <v>1.3131225400046975</v>
      </c>
      <c r="F11" s="12">
        <f t="shared" si="2"/>
        <v>1.3131225400046975</v>
      </c>
    </row>
    <row r="12" spans="1:6" x14ac:dyDescent="0.2">
      <c r="A12" s="9" t="s">
        <v>10</v>
      </c>
      <c r="B12" s="10">
        <v>50</v>
      </c>
      <c r="C12" s="10" t="s">
        <v>37</v>
      </c>
      <c r="D12" s="10">
        <f>RADIANS(B12)</f>
        <v>0.87266462599716477</v>
      </c>
      <c r="E12" s="10">
        <f t="shared" si="0"/>
        <v>1.3131225400046975</v>
      </c>
      <c r="F12" s="12">
        <f t="shared" si="2"/>
        <v>1.3131225400046975</v>
      </c>
    </row>
    <row r="13" spans="1:6" x14ac:dyDescent="0.2">
      <c r="A13" s="9" t="s">
        <v>11</v>
      </c>
      <c r="B13" s="10">
        <v>0</v>
      </c>
      <c r="C13" s="10" t="s">
        <v>37</v>
      </c>
      <c r="D13" s="10">
        <f>RADIANS(B13)</f>
        <v>0</v>
      </c>
      <c r="E13" s="10">
        <f t="shared" si="0"/>
        <v>0</v>
      </c>
      <c r="F13" s="12">
        <f t="shared" si="2"/>
        <v>0</v>
      </c>
    </row>
    <row r="14" spans="1:6" x14ac:dyDescent="0.2">
      <c r="A14" s="9" t="s">
        <v>12</v>
      </c>
      <c r="B14" s="10">
        <v>0</v>
      </c>
      <c r="C14" s="10" t="s">
        <v>37</v>
      </c>
      <c r="D14" s="10">
        <f>RADIANS(B14)</f>
        <v>0</v>
      </c>
      <c r="E14" s="10">
        <f t="shared" si="0"/>
        <v>0</v>
      </c>
      <c r="F14" s="12">
        <f t="shared" si="2"/>
        <v>0</v>
      </c>
    </row>
    <row r="15" spans="1:6" x14ac:dyDescent="0.2">
      <c r="A15" s="9" t="s">
        <v>13</v>
      </c>
      <c r="B15" s="10">
        <v>0</v>
      </c>
      <c r="C15" s="10" t="s">
        <v>37</v>
      </c>
      <c r="D15" s="10">
        <f>RADIANS(B15)</f>
        <v>0</v>
      </c>
      <c r="E15" s="10">
        <f t="shared" si="0"/>
        <v>0</v>
      </c>
      <c r="F15" s="12">
        <f t="shared" si="2"/>
        <v>0</v>
      </c>
    </row>
    <row r="16" spans="1:6" x14ac:dyDescent="0.2">
      <c r="A16" s="9" t="s">
        <v>14</v>
      </c>
      <c r="B16" s="10">
        <v>40</v>
      </c>
      <c r="C16" s="10" t="s">
        <v>37</v>
      </c>
      <c r="D16" s="10">
        <f>RADIANS(B16)</f>
        <v>0.69813170079773179</v>
      </c>
      <c r="E16" s="10">
        <f t="shared" si="0"/>
        <v>2.0517539687573403</v>
      </c>
      <c r="F16" s="12">
        <f t="shared" si="2"/>
        <v>2.0517539687573403</v>
      </c>
    </row>
    <row r="17" spans="1:6" x14ac:dyDescent="0.2">
      <c r="A17" s="9" t="s">
        <v>15</v>
      </c>
      <c r="B17" s="10">
        <v>0</v>
      </c>
      <c r="C17" s="10" t="s">
        <v>37</v>
      </c>
      <c r="D17" s="10">
        <f>RADIANS(B17)</f>
        <v>0</v>
      </c>
      <c r="E17" s="10">
        <f t="shared" si="0"/>
        <v>0</v>
      </c>
      <c r="F17" s="12">
        <f t="shared" si="2"/>
        <v>0</v>
      </c>
    </row>
    <row r="18" spans="1:6" x14ac:dyDescent="0.2">
      <c r="A18" s="9" t="s">
        <v>16</v>
      </c>
      <c r="B18" s="10">
        <v>0</v>
      </c>
      <c r="C18" s="10" t="s">
        <v>37</v>
      </c>
      <c r="D18" s="10">
        <f>RADIANS(B18)</f>
        <v>0</v>
      </c>
      <c r="E18" s="10">
        <f t="shared" si="0"/>
        <v>0</v>
      </c>
      <c r="F18" s="12">
        <f t="shared" si="2"/>
        <v>0</v>
      </c>
    </row>
    <row r="19" spans="1:6" x14ac:dyDescent="0.2">
      <c r="A19" s="9" t="s">
        <v>17</v>
      </c>
      <c r="B19" s="10">
        <v>0</v>
      </c>
      <c r="C19" s="10" t="s">
        <v>37</v>
      </c>
      <c r="D19" s="10">
        <f>RADIANS(B19)</f>
        <v>0</v>
      </c>
      <c r="E19" s="10">
        <f t="shared" si="0"/>
        <v>0</v>
      </c>
      <c r="F19" s="12">
        <f t="shared" si="2"/>
        <v>0</v>
      </c>
    </row>
    <row r="20" spans="1:6" x14ac:dyDescent="0.2">
      <c r="A20" s="9" t="s">
        <v>18</v>
      </c>
      <c r="B20" s="10">
        <v>0</v>
      </c>
      <c r="C20" s="10" t="s">
        <v>37</v>
      </c>
      <c r="D20" s="10">
        <f>RADIANS(B20)</f>
        <v>0</v>
      </c>
      <c r="E20" s="10">
        <f t="shared" si="0"/>
        <v>0</v>
      </c>
      <c r="F20" s="12">
        <f t="shared" si="2"/>
        <v>0</v>
      </c>
    </row>
    <row r="21" spans="1:6" x14ac:dyDescent="0.2">
      <c r="A21" s="9" t="s">
        <v>19</v>
      </c>
      <c r="B21" s="10">
        <v>0</v>
      </c>
      <c r="C21" s="10" t="s">
        <v>37</v>
      </c>
      <c r="D21" s="10">
        <f>RADIANS(B21)</f>
        <v>0</v>
      </c>
      <c r="E21" s="10">
        <f t="shared" si="0"/>
        <v>0</v>
      </c>
      <c r="F21" s="12">
        <f t="shared" si="2"/>
        <v>0</v>
      </c>
    </row>
    <row r="22" spans="1:6" x14ac:dyDescent="0.2">
      <c r="A22" s="9" t="s">
        <v>20</v>
      </c>
      <c r="B22" s="10">
        <v>0</v>
      </c>
      <c r="C22" s="10" t="s">
        <v>37</v>
      </c>
      <c r="D22" s="3">
        <f>RADIANS(B22)</f>
        <v>0</v>
      </c>
      <c r="E22" s="3">
        <f t="shared" si="0"/>
        <v>0</v>
      </c>
      <c r="F22" s="14">
        <f t="shared" si="2"/>
        <v>0</v>
      </c>
    </row>
    <row r="23" spans="1:6" x14ac:dyDescent="0.2">
      <c r="A23" s="15" t="s">
        <v>21</v>
      </c>
      <c r="B23" s="4">
        <v>20</v>
      </c>
      <c r="C23" s="5" t="s">
        <v>37</v>
      </c>
      <c r="D23" s="10">
        <f t="shared" ref="D23:D34" si="3">RADIANS(B23)</f>
        <v>0.3490658503988659</v>
      </c>
      <c r="E23" s="10">
        <f t="shared" si="0"/>
        <v>8.2070158750293611</v>
      </c>
      <c r="F23" s="12">
        <f t="shared" si="2"/>
        <v>8.2070158750293611</v>
      </c>
    </row>
    <row r="24" spans="1:6" x14ac:dyDescent="0.2">
      <c r="A24" s="9" t="s">
        <v>22</v>
      </c>
      <c r="B24" s="10">
        <v>20</v>
      </c>
      <c r="C24" s="10" t="s">
        <v>37</v>
      </c>
      <c r="D24" s="10">
        <f t="shared" si="3"/>
        <v>0.3490658503988659</v>
      </c>
      <c r="E24" s="10">
        <f t="shared" si="0"/>
        <v>8.2070158750293611</v>
      </c>
      <c r="F24" s="12">
        <f t="shared" si="2"/>
        <v>8.2070158750293611</v>
      </c>
    </row>
    <row r="25" spans="1:6" x14ac:dyDescent="0.2">
      <c r="A25" s="9" t="s">
        <v>23</v>
      </c>
      <c r="B25" s="10">
        <v>12.5</v>
      </c>
      <c r="C25" s="10" t="s">
        <v>37</v>
      </c>
      <c r="D25" s="10">
        <f t="shared" si="3"/>
        <v>0.21816615649929119</v>
      </c>
      <c r="E25" s="10">
        <f t="shared" si="0"/>
        <v>21.00996064007516</v>
      </c>
      <c r="F25" s="12">
        <f t="shared" si="2"/>
        <v>21.00996064007516</v>
      </c>
    </row>
    <row r="26" spans="1:6" x14ac:dyDescent="0.2">
      <c r="A26" s="9" t="s">
        <v>24</v>
      </c>
      <c r="B26" s="10">
        <v>0</v>
      </c>
      <c r="C26" s="10" t="s">
        <v>37</v>
      </c>
      <c r="D26" s="10">
        <f t="shared" si="3"/>
        <v>0</v>
      </c>
      <c r="E26" s="10">
        <f t="shared" si="0"/>
        <v>0</v>
      </c>
      <c r="F26" s="12">
        <f t="shared" si="2"/>
        <v>0</v>
      </c>
    </row>
    <row r="27" spans="1:6" x14ac:dyDescent="0.2">
      <c r="A27" s="9" t="s">
        <v>25</v>
      </c>
      <c r="B27" s="10">
        <v>0</v>
      </c>
      <c r="C27" s="10" t="s">
        <v>37</v>
      </c>
      <c r="D27" s="10">
        <f t="shared" si="3"/>
        <v>0</v>
      </c>
      <c r="E27" s="10">
        <f t="shared" si="0"/>
        <v>0</v>
      </c>
      <c r="F27" s="12">
        <f t="shared" si="2"/>
        <v>0</v>
      </c>
    </row>
    <row r="28" spans="1:6" x14ac:dyDescent="0.2">
      <c r="A28" s="9" t="s">
        <v>26</v>
      </c>
      <c r="B28" s="10">
        <v>0</v>
      </c>
      <c r="C28" s="10" t="s">
        <v>37</v>
      </c>
      <c r="D28" s="10">
        <f t="shared" si="3"/>
        <v>0</v>
      </c>
      <c r="E28" s="10">
        <f t="shared" si="0"/>
        <v>0</v>
      </c>
      <c r="F28" s="12">
        <f t="shared" si="2"/>
        <v>0</v>
      </c>
    </row>
    <row r="29" spans="1:6" x14ac:dyDescent="0.2">
      <c r="A29" s="9" t="s">
        <v>27</v>
      </c>
      <c r="B29" s="10">
        <v>8</v>
      </c>
      <c r="C29" s="10" t="s">
        <v>37</v>
      </c>
      <c r="D29" s="10">
        <f t="shared" si="3"/>
        <v>0.13962634015954636</v>
      </c>
      <c r="E29" s="10">
        <f t="shared" si="0"/>
        <v>51.293849218933502</v>
      </c>
      <c r="F29" s="12">
        <f t="shared" si="2"/>
        <v>51.293849218933502</v>
      </c>
    </row>
    <row r="30" spans="1:6" x14ac:dyDescent="0.2">
      <c r="A30" s="9" t="s">
        <v>28</v>
      </c>
      <c r="B30" s="10">
        <v>0</v>
      </c>
      <c r="C30" s="10" t="s">
        <v>37</v>
      </c>
      <c r="D30" s="10">
        <f t="shared" si="3"/>
        <v>0</v>
      </c>
      <c r="E30" s="10">
        <f t="shared" si="0"/>
        <v>0</v>
      </c>
      <c r="F30" s="12">
        <f t="shared" si="2"/>
        <v>0</v>
      </c>
    </row>
    <row r="31" spans="1:6" x14ac:dyDescent="0.2">
      <c r="A31" s="9" t="s">
        <v>29</v>
      </c>
      <c r="B31" s="10">
        <v>0</v>
      </c>
      <c r="C31" s="10" t="s">
        <v>37</v>
      </c>
      <c r="D31" s="10">
        <f t="shared" si="3"/>
        <v>0</v>
      </c>
      <c r="E31" s="10">
        <f t="shared" si="0"/>
        <v>0</v>
      </c>
      <c r="F31" s="12">
        <f t="shared" si="2"/>
        <v>0</v>
      </c>
    </row>
    <row r="32" spans="1:6" x14ac:dyDescent="0.2">
      <c r="A32" s="9" t="s">
        <v>30</v>
      </c>
      <c r="B32" s="10">
        <v>0</v>
      </c>
      <c r="C32" s="10" t="s">
        <v>37</v>
      </c>
      <c r="D32" s="10">
        <f t="shared" si="3"/>
        <v>0</v>
      </c>
      <c r="E32" s="10">
        <f t="shared" si="0"/>
        <v>0</v>
      </c>
      <c r="F32" s="12">
        <f t="shared" si="2"/>
        <v>0</v>
      </c>
    </row>
    <row r="33" spans="1:6" x14ac:dyDescent="0.2">
      <c r="A33" s="9" t="s">
        <v>31</v>
      </c>
      <c r="B33" s="10">
        <v>0</v>
      </c>
      <c r="C33" s="10" t="s">
        <v>37</v>
      </c>
      <c r="D33" s="10">
        <f t="shared" si="3"/>
        <v>0</v>
      </c>
      <c r="E33" s="10">
        <f t="shared" si="0"/>
        <v>0</v>
      </c>
      <c r="F33" s="12">
        <f t="shared" si="2"/>
        <v>0</v>
      </c>
    </row>
    <row r="34" spans="1:6" x14ac:dyDescent="0.2">
      <c r="A34" s="9" t="s">
        <v>32</v>
      </c>
      <c r="B34" s="10">
        <v>0</v>
      </c>
      <c r="C34" s="10" t="s">
        <v>37</v>
      </c>
      <c r="D34" s="10">
        <f t="shared" si="3"/>
        <v>0</v>
      </c>
      <c r="E34" s="10">
        <f t="shared" si="0"/>
        <v>0</v>
      </c>
      <c r="F34" s="12">
        <f t="shared" si="2"/>
        <v>0</v>
      </c>
    </row>
    <row r="35" spans="1:6" x14ac:dyDescent="0.2">
      <c r="A35" s="13" t="s">
        <v>33</v>
      </c>
      <c r="B35" s="3">
        <v>20</v>
      </c>
      <c r="C35" s="17" t="s">
        <v>37</v>
      </c>
      <c r="D35" s="3">
        <f>RADIANS(B35)</f>
        <v>0.3490658503988659</v>
      </c>
      <c r="E35" s="3">
        <f t="shared" si="0"/>
        <v>8.2070158750293611</v>
      </c>
      <c r="F35" s="14">
        <f t="shared" si="2"/>
        <v>8.2070158750293611</v>
      </c>
    </row>
    <row r="36" spans="1:6" x14ac:dyDescent="0.2">
      <c r="A36" s="18"/>
      <c r="B36" s="10"/>
      <c r="C36" s="16"/>
      <c r="D36" s="10"/>
      <c r="E36" s="10"/>
      <c r="F36" s="19"/>
    </row>
    <row r="37" spans="1:6" x14ac:dyDescent="0.2">
      <c r="A37" s="20" t="s">
        <v>42</v>
      </c>
      <c r="B37" s="21">
        <v>2.5</v>
      </c>
      <c r="C37" s="16"/>
      <c r="D37" s="10"/>
      <c r="E37" s="10"/>
      <c r="F37" s="19"/>
    </row>
    <row r="38" spans="1:6" x14ac:dyDescent="0.2">
      <c r="A38" s="1" t="s">
        <v>43</v>
      </c>
      <c r="B38" s="1">
        <v>10</v>
      </c>
      <c r="C38" s="16"/>
      <c r="D38" s="10"/>
      <c r="E38" s="10"/>
      <c r="F38" s="19"/>
    </row>
    <row r="40" spans="1:6" x14ac:dyDescent="0.2">
      <c r="A40" s="6" t="s">
        <v>41</v>
      </c>
      <c r="B40" s="7" t="s">
        <v>1</v>
      </c>
      <c r="C40" s="7" t="s">
        <v>1</v>
      </c>
      <c r="D40" s="7" t="s">
        <v>34</v>
      </c>
      <c r="E40" s="7" t="s">
        <v>38</v>
      </c>
      <c r="F40" s="8" t="s">
        <v>39</v>
      </c>
    </row>
    <row r="41" spans="1:6" x14ac:dyDescent="0.2">
      <c r="A41" s="9" t="s">
        <v>2</v>
      </c>
      <c r="B41" s="10">
        <v>0.1</v>
      </c>
      <c r="C41" s="10" t="s">
        <v>36</v>
      </c>
      <c r="D41" s="10">
        <f>B41</f>
        <v>0.1</v>
      </c>
      <c r="E41" s="10">
        <f>IF(D41&lt;&gt;0,1/(D41^2),0)</f>
        <v>99.999999999999986</v>
      </c>
      <c r="F41" s="11">
        <f>E41/$B$38</f>
        <v>9.9999999999999982</v>
      </c>
    </row>
    <row r="42" spans="1:6" x14ac:dyDescent="0.2">
      <c r="A42" s="9" t="s">
        <v>3</v>
      </c>
      <c r="B42" s="10">
        <v>0.1</v>
      </c>
      <c r="C42" s="10" t="s">
        <v>36</v>
      </c>
      <c r="D42" s="10">
        <f>B42</f>
        <v>0.1</v>
      </c>
      <c r="E42" s="10">
        <f t="shared" ref="E42:E72" si="4">IF(D42&lt;&gt;0,1/(D42^2),0)</f>
        <v>99.999999999999986</v>
      </c>
      <c r="F42" s="11">
        <f>E42/$B$38</f>
        <v>9.9999999999999982</v>
      </c>
    </row>
    <row r="43" spans="1:6" x14ac:dyDescent="0.2">
      <c r="A43" s="9" t="s">
        <v>4</v>
      </c>
      <c r="B43" s="10">
        <v>0.2</v>
      </c>
      <c r="C43" s="10" t="s">
        <v>36</v>
      </c>
      <c r="D43" s="10">
        <f>B43</f>
        <v>0.2</v>
      </c>
      <c r="E43" s="10">
        <f t="shared" si="4"/>
        <v>24.999999999999996</v>
      </c>
      <c r="F43" s="11">
        <f>E43/$B$38</f>
        <v>2.4999999999999996</v>
      </c>
    </row>
    <row r="44" spans="1:6" x14ac:dyDescent="0.2">
      <c r="A44" s="9" t="s">
        <v>5</v>
      </c>
      <c r="B44" s="10">
        <v>25</v>
      </c>
      <c r="C44" s="10" t="s">
        <v>37</v>
      </c>
      <c r="D44" s="10">
        <f>RADIANS(B44)</f>
        <v>0.43633231299858238</v>
      </c>
      <c r="E44" s="10">
        <f t="shared" si="4"/>
        <v>5.2524901600187901</v>
      </c>
      <c r="F44" s="12">
        <f>E44</f>
        <v>5.2524901600187901</v>
      </c>
    </row>
    <row r="45" spans="1:6" x14ac:dyDescent="0.2">
      <c r="A45" s="9" t="s">
        <v>6</v>
      </c>
      <c r="B45" s="10">
        <v>25</v>
      </c>
      <c r="C45" s="10" t="s">
        <v>37</v>
      </c>
      <c r="D45" s="10">
        <f>RADIANS(B45)</f>
        <v>0.43633231299858238</v>
      </c>
      <c r="E45" s="10">
        <f t="shared" si="4"/>
        <v>5.2524901600187901</v>
      </c>
      <c r="F45" s="12">
        <f t="shared" ref="F45:F72" si="5">E45</f>
        <v>5.2524901600187901</v>
      </c>
    </row>
    <row r="46" spans="1:6" x14ac:dyDescent="0.2">
      <c r="A46" s="13" t="s">
        <v>7</v>
      </c>
      <c r="B46" s="3">
        <v>25</v>
      </c>
      <c r="C46" s="3" t="s">
        <v>37</v>
      </c>
      <c r="D46" s="3">
        <f>RADIANS(B46)</f>
        <v>0.43633231299858238</v>
      </c>
      <c r="E46" s="3">
        <f t="shared" si="4"/>
        <v>5.2524901600187901</v>
      </c>
      <c r="F46" s="14">
        <f t="shared" si="5"/>
        <v>5.2524901600187901</v>
      </c>
    </row>
    <row r="47" spans="1:6" x14ac:dyDescent="0.2">
      <c r="A47" s="9" t="s">
        <v>8</v>
      </c>
      <c r="B47" s="10">
        <v>0</v>
      </c>
      <c r="C47" s="10" t="s">
        <v>37</v>
      </c>
      <c r="D47" s="10">
        <f>RADIANS(B47)</f>
        <v>0</v>
      </c>
      <c r="E47" s="10">
        <f t="shared" si="4"/>
        <v>0</v>
      </c>
      <c r="F47" s="12">
        <f t="shared" si="5"/>
        <v>0</v>
      </c>
    </row>
    <row r="48" spans="1:6" x14ac:dyDescent="0.2">
      <c r="A48" s="9" t="s">
        <v>9</v>
      </c>
      <c r="B48" s="10">
        <v>0</v>
      </c>
      <c r="C48" s="10" t="s">
        <v>37</v>
      </c>
      <c r="D48" s="10">
        <f>RADIANS(B48)</f>
        <v>0</v>
      </c>
      <c r="E48" s="10">
        <f t="shared" si="4"/>
        <v>0</v>
      </c>
      <c r="F48" s="12">
        <f t="shared" si="5"/>
        <v>0</v>
      </c>
    </row>
    <row r="49" spans="1:6" x14ac:dyDescent="0.2">
      <c r="A49" s="9" t="s">
        <v>10</v>
      </c>
      <c r="B49" s="10">
        <v>0</v>
      </c>
      <c r="C49" s="10" t="s">
        <v>37</v>
      </c>
      <c r="D49" s="10">
        <f>RADIANS(B49)</f>
        <v>0</v>
      </c>
      <c r="E49" s="10">
        <f t="shared" si="4"/>
        <v>0</v>
      </c>
      <c r="F49" s="12">
        <f t="shared" si="5"/>
        <v>0</v>
      </c>
    </row>
    <row r="50" spans="1:6" x14ac:dyDescent="0.2">
      <c r="A50" s="9" t="s">
        <v>11</v>
      </c>
      <c r="B50" s="10">
        <v>0</v>
      </c>
      <c r="C50" s="10" t="s">
        <v>37</v>
      </c>
      <c r="D50" s="10">
        <f>RADIANS(B50)</f>
        <v>0</v>
      </c>
      <c r="E50" s="10">
        <f t="shared" si="4"/>
        <v>0</v>
      </c>
      <c r="F50" s="12">
        <f t="shared" si="5"/>
        <v>0</v>
      </c>
    </row>
    <row r="51" spans="1:6" x14ac:dyDescent="0.2">
      <c r="A51" s="9" t="s">
        <v>12</v>
      </c>
      <c r="B51" s="10">
        <v>0</v>
      </c>
      <c r="C51" s="10" t="s">
        <v>37</v>
      </c>
      <c r="D51" s="10">
        <f>RADIANS(B51)</f>
        <v>0</v>
      </c>
      <c r="E51" s="10">
        <f t="shared" si="4"/>
        <v>0</v>
      </c>
      <c r="F51" s="12">
        <f t="shared" si="5"/>
        <v>0</v>
      </c>
    </row>
    <row r="52" spans="1:6" x14ac:dyDescent="0.2">
      <c r="A52" s="9" t="s">
        <v>13</v>
      </c>
      <c r="B52" s="10">
        <v>0</v>
      </c>
      <c r="C52" s="10" t="s">
        <v>37</v>
      </c>
      <c r="D52" s="10">
        <f>RADIANS(B52)</f>
        <v>0</v>
      </c>
      <c r="E52" s="10">
        <f t="shared" si="4"/>
        <v>0</v>
      </c>
      <c r="F52" s="12">
        <f t="shared" si="5"/>
        <v>0</v>
      </c>
    </row>
    <row r="53" spans="1:6" x14ac:dyDescent="0.2">
      <c r="A53" s="9" t="s">
        <v>14</v>
      </c>
      <c r="B53" s="10">
        <v>0</v>
      </c>
      <c r="C53" s="10" t="s">
        <v>37</v>
      </c>
      <c r="D53" s="10">
        <f>RADIANS(B53)</f>
        <v>0</v>
      </c>
      <c r="E53" s="10">
        <f t="shared" si="4"/>
        <v>0</v>
      </c>
      <c r="F53" s="12">
        <f t="shared" si="5"/>
        <v>0</v>
      </c>
    </row>
    <row r="54" spans="1:6" x14ac:dyDescent="0.2">
      <c r="A54" s="9" t="s">
        <v>15</v>
      </c>
      <c r="B54" s="10">
        <v>0</v>
      </c>
      <c r="C54" s="10" t="s">
        <v>37</v>
      </c>
      <c r="D54" s="10">
        <f>RADIANS(B54)</f>
        <v>0</v>
      </c>
      <c r="E54" s="10">
        <f t="shared" si="4"/>
        <v>0</v>
      </c>
      <c r="F54" s="12">
        <f t="shared" si="5"/>
        <v>0</v>
      </c>
    </row>
    <row r="55" spans="1:6" x14ac:dyDescent="0.2">
      <c r="A55" s="9" t="s">
        <v>16</v>
      </c>
      <c r="B55" s="10">
        <v>0</v>
      </c>
      <c r="C55" s="10" t="s">
        <v>37</v>
      </c>
      <c r="D55" s="10">
        <f>RADIANS(B55)</f>
        <v>0</v>
      </c>
      <c r="E55" s="10">
        <f t="shared" si="4"/>
        <v>0</v>
      </c>
      <c r="F55" s="12">
        <f t="shared" si="5"/>
        <v>0</v>
      </c>
    </row>
    <row r="56" spans="1:6" x14ac:dyDescent="0.2">
      <c r="A56" s="9" t="s">
        <v>17</v>
      </c>
      <c r="B56" s="10">
        <v>0</v>
      </c>
      <c r="C56" s="10" t="s">
        <v>37</v>
      </c>
      <c r="D56" s="10">
        <f>RADIANS(B56)</f>
        <v>0</v>
      </c>
      <c r="E56" s="10">
        <f t="shared" si="4"/>
        <v>0</v>
      </c>
      <c r="F56" s="12">
        <f t="shared" si="5"/>
        <v>0</v>
      </c>
    </row>
    <row r="57" spans="1:6" x14ac:dyDescent="0.2">
      <c r="A57" s="9" t="s">
        <v>18</v>
      </c>
      <c r="B57" s="10">
        <v>0</v>
      </c>
      <c r="C57" s="10" t="s">
        <v>37</v>
      </c>
      <c r="D57" s="10">
        <f>RADIANS(B57)</f>
        <v>0</v>
      </c>
      <c r="E57" s="10">
        <f t="shared" si="4"/>
        <v>0</v>
      </c>
      <c r="F57" s="12">
        <f t="shared" si="5"/>
        <v>0</v>
      </c>
    </row>
    <row r="58" spans="1:6" x14ac:dyDescent="0.2">
      <c r="A58" s="9" t="s">
        <v>19</v>
      </c>
      <c r="B58" s="10">
        <v>0</v>
      </c>
      <c r="C58" s="10" t="s">
        <v>37</v>
      </c>
      <c r="D58" s="10">
        <f>RADIANS(B58)</f>
        <v>0</v>
      </c>
      <c r="E58" s="10">
        <f t="shared" si="4"/>
        <v>0</v>
      </c>
      <c r="F58" s="12">
        <f t="shared" si="5"/>
        <v>0</v>
      </c>
    </row>
    <row r="59" spans="1:6" x14ac:dyDescent="0.2">
      <c r="A59" s="9" t="s">
        <v>20</v>
      </c>
      <c r="B59" s="10">
        <v>0</v>
      </c>
      <c r="C59" s="10" t="s">
        <v>37</v>
      </c>
      <c r="D59" s="3">
        <f>RADIANS(B59)</f>
        <v>0</v>
      </c>
      <c r="E59" s="3">
        <f t="shared" si="4"/>
        <v>0</v>
      </c>
      <c r="F59" s="14">
        <f t="shared" si="5"/>
        <v>0</v>
      </c>
    </row>
    <row r="60" spans="1:6" x14ac:dyDescent="0.2">
      <c r="A60" s="15" t="s">
        <v>21</v>
      </c>
      <c r="B60" s="4">
        <v>20</v>
      </c>
      <c r="C60" s="5" t="s">
        <v>37</v>
      </c>
      <c r="D60" s="10">
        <f t="shared" ref="D60:D71" si="6">RADIANS(B60)</f>
        <v>0.3490658503988659</v>
      </c>
      <c r="E60" s="10">
        <f t="shared" si="4"/>
        <v>8.2070158750293611</v>
      </c>
      <c r="F60" s="12">
        <f t="shared" si="5"/>
        <v>8.2070158750293611</v>
      </c>
    </row>
    <row r="61" spans="1:6" x14ac:dyDescent="0.2">
      <c r="A61" s="9" t="s">
        <v>22</v>
      </c>
      <c r="B61" s="10">
        <v>20</v>
      </c>
      <c r="C61" s="10" t="s">
        <v>37</v>
      </c>
      <c r="D61" s="10">
        <f t="shared" si="6"/>
        <v>0.3490658503988659</v>
      </c>
      <c r="E61" s="10">
        <f t="shared" si="4"/>
        <v>8.2070158750293611</v>
      </c>
      <c r="F61" s="12">
        <f t="shared" si="5"/>
        <v>8.2070158750293611</v>
      </c>
    </row>
    <row r="62" spans="1:6" x14ac:dyDescent="0.2">
      <c r="A62" s="9" t="s">
        <v>23</v>
      </c>
      <c r="B62" s="10">
        <v>20</v>
      </c>
      <c r="C62" s="10" t="s">
        <v>37</v>
      </c>
      <c r="D62" s="10">
        <f t="shared" si="6"/>
        <v>0.3490658503988659</v>
      </c>
      <c r="E62" s="10">
        <f t="shared" si="4"/>
        <v>8.2070158750293611</v>
      </c>
      <c r="F62" s="12">
        <f t="shared" si="5"/>
        <v>8.2070158750293611</v>
      </c>
    </row>
    <row r="63" spans="1:6" x14ac:dyDescent="0.2">
      <c r="A63" s="9" t="s">
        <v>24</v>
      </c>
      <c r="B63" s="10">
        <v>0</v>
      </c>
      <c r="C63" s="10" t="s">
        <v>37</v>
      </c>
      <c r="D63" s="10">
        <f t="shared" si="6"/>
        <v>0</v>
      </c>
      <c r="E63" s="10">
        <f t="shared" si="4"/>
        <v>0</v>
      </c>
      <c r="F63" s="12">
        <f t="shared" si="5"/>
        <v>0</v>
      </c>
    </row>
    <row r="64" spans="1:6" x14ac:dyDescent="0.2">
      <c r="A64" s="9" t="s">
        <v>25</v>
      </c>
      <c r="B64" s="10">
        <v>0</v>
      </c>
      <c r="C64" s="10" t="s">
        <v>37</v>
      </c>
      <c r="D64" s="10">
        <f t="shared" si="6"/>
        <v>0</v>
      </c>
      <c r="E64" s="10">
        <f t="shared" si="4"/>
        <v>0</v>
      </c>
      <c r="F64" s="12">
        <f t="shared" si="5"/>
        <v>0</v>
      </c>
    </row>
    <row r="65" spans="1:6" x14ac:dyDescent="0.2">
      <c r="A65" s="9" t="s">
        <v>26</v>
      </c>
      <c r="B65" s="10">
        <v>0</v>
      </c>
      <c r="C65" s="10" t="s">
        <v>37</v>
      </c>
      <c r="D65" s="10">
        <f t="shared" si="6"/>
        <v>0</v>
      </c>
      <c r="E65" s="10">
        <f t="shared" si="4"/>
        <v>0</v>
      </c>
      <c r="F65" s="12">
        <f t="shared" si="5"/>
        <v>0</v>
      </c>
    </row>
    <row r="66" spans="1:6" x14ac:dyDescent="0.2">
      <c r="A66" s="9" t="s">
        <v>27</v>
      </c>
      <c r="B66" s="10">
        <v>25</v>
      </c>
      <c r="C66" s="10" t="s">
        <v>37</v>
      </c>
      <c r="D66" s="10">
        <f t="shared" si="6"/>
        <v>0.43633231299858238</v>
      </c>
      <c r="E66" s="10">
        <f t="shared" si="4"/>
        <v>5.2524901600187901</v>
      </c>
      <c r="F66" s="12">
        <f t="shared" si="5"/>
        <v>5.2524901600187901</v>
      </c>
    </row>
    <row r="67" spans="1:6" x14ac:dyDescent="0.2">
      <c r="A67" s="9" t="s">
        <v>28</v>
      </c>
      <c r="B67" s="10">
        <v>0</v>
      </c>
      <c r="C67" s="10" t="s">
        <v>37</v>
      </c>
      <c r="D67" s="10">
        <f t="shared" si="6"/>
        <v>0</v>
      </c>
      <c r="E67" s="10">
        <f t="shared" si="4"/>
        <v>0</v>
      </c>
      <c r="F67" s="12">
        <f t="shared" si="5"/>
        <v>0</v>
      </c>
    </row>
    <row r="68" spans="1:6" x14ac:dyDescent="0.2">
      <c r="A68" s="9" t="s">
        <v>29</v>
      </c>
      <c r="B68" s="10">
        <v>0</v>
      </c>
      <c r="C68" s="10" t="s">
        <v>37</v>
      </c>
      <c r="D68" s="10">
        <f t="shared" si="6"/>
        <v>0</v>
      </c>
      <c r="E68" s="10">
        <f t="shared" si="4"/>
        <v>0</v>
      </c>
      <c r="F68" s="12">
        <f t="shared" si="5"/>
        <v>0</v>
      </c>
    </row>
    <row r="69" spans="1:6" x14ac:dyDescent="0.2">
      <c r="A69" s="9" t="s">
        <v>30</v>
      </c>
      <c r="B69" s="10">
        <v>0</v>
      </c>
      <c r="C69" s="10" t="s">
        <v>37</v>
      </c>
      <c r="D69" s="10">
        <f t="shared" si="6"/>
        <v>0</v>
      </c>
      <c r="E69" s="10">
        <f t="shared" si="4"/>
        <v>0</v>
      </c>
      <c r="F69" s="12">
        <f t="shared" si="5"/>
        <v>0</v>
      </c>
    </row>
    <row r="70" spans="1:6" x14ac:dyDescent="0.2">
      <c r="A70" s="9" t="s">
        <v>31</v>
      </c>
      <c r="B70" s="10">
        <v>0</v>
      </c>
      <c r="C70" s="10" t="s">
        <v>37</v>
      </c>
      <c r="D70" s="10">
        <f t="shared" si="6"/>
        <v>0</v>
      </c>
      <c r="E70" s="10">
        <f t="shared" si="4"/>
        <v>0</v>
      </c>
      <c r="F70" s="12">
        <f t="shared" si="5"/>
        <v>0</v>
      </c>
    </row>
    <row r="71" spans="1:6" x14ac:dyDescent="0.2">
      <c r="A71" s="9" t="s">
        <v>32</v>
      </c>
      <c r="B71" s="10">
        <v>0</v>
      </c>
      <c r="C71" s="10" t="s">
        <v>37</v>
      </c>
      <c r="D71" s="10">
        <f t="shared" si="6"/>
        <v>0</v>
      </c>
      <c r="E71" s="10">
        <f t="shared" si="4"/>
        <v>0</v>
      </c>
      <c r="F71" s="12">
        <f t="shared" si="5"/>
        <v>0</v>
      </c>
    </row>
    <row r="72" spans="1:6" x14ac:dyDescent="0.2">
      <c r="A72" s="13" t="s">
        <v>33</v>
      </c>
      <c r="B72" s="3">
        <v>20</v>
      </c>
      <c r="C72" s="17" t="s">
        <v>37</v>
      </c>
      <c r="D72" s="3">
        <f>RADIANS(B72)</f>
        <v>0.3490658503988659</v>
      </c>
      <c r="E72" s="3">
        <f t="shared" si="4"/>
        <v>8.2070158750293611</v>
      </c>
      <c r="F72" s="14">
        <f t="shared" si="5"/>
        <v>8.2070158750293611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64BDD-4D1A-3A47-98D1-495D6E947C97}">
  <dimension ref="A1:A26"/>
  <sheetViews>
    <sheetView workbookViewId="0">
      <selection activeCell="D14" sqref="D14"/>
    </sheetView>
  </sheetViews>
  <sheetFormatPr baseColWidth="10" defaultRowHeight="16" x14ac:dyDescent="0.2"/>
  <sheetData>
    <row r="1" spans="1:1" x14ac:dyDescent="0.2">
      <c r="A1" s="22">
        <v>10.33</v>
      </c>
    </row>
    <row r="2" spans="1:1" x14ac:dyDescent="0.2">
      <c r="A2" s="22">
        <v>1.82</v>
      </c>
    </row>
    <row r="3" spans="1:1" x14ac:dyDescent="0.2">
      <c r="A3" s="22">
        <v>1.171</v>
      </c>
    </row>
    <row r="4" spans="1:1" x14ac:dyDescent="0.2">
      <c r="A4" s="22">
        <v>5.52</v>
      </c>
    </row>
    <row r="5" spans="1:1" x14ac:dyDescent="0.2">
      <c r="A5" s="22">
        <v>0.15670000000000001</v>
      </c>
    </row>
    <row r="6" spans="1:1" x14ac:dyDescent="0.2">
      <c r="A6" s="22">
        <v>0.75780000000000003</v>
      </c>
    </row>
    <row r="7" spans="1:1" x14ac:dyDescent="0.2">
      <c r="A7" s="22">
        <v>0.186</v>
      </c>
    </row>
    <row r="8" spans="1:1" x14ac:dyDescent="0.2">
      <c r="A8" s="22">
        <v>0.57699999999999996</v>
      </c>
    </row>
    <row r="9" spans="1:1" x14ac:dyDescent="0.2">
      <c r="A9" s="22">
        <v>0.78200000000000003</v>
      </c>
    </row>
    <row r="10" spans="1:1" x14ac:dyDescent="0.2">
      <c r="A10" s="22">
        <v>0.126</v>
      </c>
    </row>
    <row r="11" spans="1:1" x14ac:dyDescent="0.2">
      <c r="A11" s="22">
        <v>0.12609999999999999</v>
      </c>
    </row>
    <row r="12" spans="1:1" x14ac:dyDescent="0.2">
      <c r="A12" s="22">
        <v>0.1186</v>
      </c>
    </row>
    <row r="13" spans="1:1" x14ac:dyDescent="0.2">
      <c r="A13" s="22">
        <v>0.14979999999999999</v>
      </c>
    </row>
    <row r="14" spans="1:1" x14ac:dyDescent="0.2">
      <c r="A14" s="22">
        <v>1.82</v>
      </c>
    </row>
    <row r="15" spans="1:1" x14ac:dyDescent="0.2">
      <c r="A15" s="22">
        <v>1.171</v>
      </c>
    </row>
    <row r="16" spans="1:1" x14ac:dyDescent="0.2">
      <c r="A16" s="22">
        <v>5.52</v>
      </c>
    </row>
    <row r="17" spans="1:1" x14ac:dyDescent="0.2">
      <c r="A17" s="22">
        <v>0.15670000000000001</v>
      </c>
    </row>
    <row r="18" spans="1:1" x14ac:dyDescent="0.2">
      <c r="A18" s="22">
        <v>0.75780000000000003</v>
      </c>
    </row>
    <row r="19" spans="1:1" x14ac:dyDescent="0.2">
      <c r="A19" s="22">
        <v>0.186</v>
      </c>
    </row>
    <row r="20" spans="1:1" x14ac:dyDescent="0.2">
      <c r="A20" s="22">
        <v>0.57699999999999996</v>
      </c>
    </row>
    <row r="21" spans="1:1" x14ac:dyDescent="0.2">
      <c r="A21" s="22">
        <v>0.78200000000000003</v>
      </c>
    </row>
    <row r="22" spans="1:1" x14ac:dyDescent="0.2">
      <c r="A22" s="22">
        <v>0.126</v>
      </c>
    </row>
    <row r="23" spans="1:1" x14ac:dyDescent="0.2">
      <c r="A23" s="22">
        <v>0.12609999999999999</v>
      </c>
    </row>
    <row r="24" spans="1:1" x14ac:dyDescent="0.2">
      <c r="A24" s="22">
        <v>0.1186</v>
      </c>
    </row>
    <row r="25" spans="1:1" x14ac:dyDescent="0.2">
      <c r="A25" s="22">
        <v>0.14979999999999999</v>
      </c>
    </row>
    <row r="26" spans="1:1" x14ac:dyDescent="0.2">
      <c r="A26">
        <f>SUM(A1:A25)</f>
        <v>33.311999999999998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2_Leg</vt:lpstr>
      <vt:lpstr>1_Leg</vt:lpstr>
      <vt:lpstr>Mass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 Lavender</dc:creator>
  <cp:lastModifiedBy>Will Lavender</cp:lastModifiedBy>
  <dcterms:created xsi:type="dcterms:W3CDTF">2024-09-24T12:25:19Z</dcterms:created>
  <dcterms:modified xsi:type="dcterms:W3CDTF">2024-10-19T07:05:58Z</dcterms:modified>
</cp:coreProperties>
</file>